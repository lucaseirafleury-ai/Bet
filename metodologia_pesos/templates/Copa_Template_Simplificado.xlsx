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cas Fleury\Downloads\"/>
    </mc:Choice>
  </mc:AlternateContent>
  <xr:revisionPtr revIDLastSave="0" documentId="13_ncr:1_{012826C5-93C2-4229-955B-A3FE7EACE84A}" xr6:coauthVersionLast="47" xr6:coauthVersionMax="47" xr10:uidLastSave="{00000000-0000-0000-0000-000000000000}"/>
  <bookViews>
    <workbookView xWindow="-19310" yWindow="-110" windowWidth="19420" windowHeight="11020" tabRatio="500" xr2:uid="{00000000-000D-0000-FFFF-FFFF00000000}"/>
  </bookViews>
  <sheets>
    <sheet name="Times" sheetId="8" r:id="rId1"/>
    <sheet name="Jogos do Dia" sheetId="9" r:id="rId2"/>
    <sheet name="Mercados" sheetId="10" r:id="rId3"/>
    <sheet name="Fontes" sheetId="11" r:id="rId4"/>
    <sheet name="Critérios" sheetId="12" r:id="rId5"/>
    <sheet name="Parâmetros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K3" i="8" l="1"/>
  <c r="AK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2" i="8"/>
  <c r="P5" i="9" a="1"/>
  <c r="P5" i="9" s="1"/>
  <c r="O5" i="9" a="1"/>
  <c r="O5" i="9" s="1"/>
  <c r="P4" i="9" a="1"/>
  <c r="P4" i="9" s="1"/>
  <c r="O4" i="9" a="1"/>
  <c r="O4" i="9" s="1"/>
  <c r="P3" i="9" a="1"/>
  <c r="P3" i="9" s="1"/>
  <c r="O3" i="9" a="1"/>
  <c r="O3" i="9" s="1"/>
  <c r="P2" i="9" a="1"/>
  <c r="P2" i="9" s="1"/>
  <c r="O2" i="9" a="1"/>
  <c r="O2" i="9" s="1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AE2" i="9" a="1"/>
  <c r="AE2" i="9" s="1"/>
  <c r="AD2" i="9" a="1"/>
  <c r="AD2" i="9" s="1"/>
  <c r="O2" i="10"/>
  <c r="P2" i="10"/>
  <c r="R2" i="10"/>
  <c r="S2" i="10"/>
  <c r="O3" i="10"/>
  <c r="P3" i="10"/>
  <c r="R3" i="10"/>
  <c r="S3" i="10"/>
  <c r="O4" i="10"/>
  <c r="P4" i="10"/>
  <c r="R4" i="10"/>
  <c r="S4" i="10"/>
  <c r="O5" i="10"/>
  <c r="P5" i="10"/>
  <c r="R5" i="10"/>
  <c r="S5" i="10"/>
  <c r="O6" i="10"/>
  <c r="P6" i="10"/>
  <c r="R6" i="10"/>
  <c r="S6" i="10"/>
  <c r="O7" i="10"/>
  <c r="P7" i="10"/>
  <c r="R7" i="10"/>
  <c r="S7" i="10"/>
  <c r="O8" i="10"/>
  <c r="P8" i="10"/>
  <c r="R8" i="10"/>
  <c r="S8" i="10"/>
  <c r="O9" i="10"/>
  <c r="P9" i="10"/>
  <c r="R9" i="10"/>
  <c r="S9" i="10"/>
  <c r="O10" i="10"/>
  <c r="P10" i="10"/>
  <c r="R10" i="10"/>
  <c r="S10" i="10"/>
  <c r="O11" i="10"/>
  <c r="P11" i="10"/>
  <c r="R11" i="10"/>
  <c r="S11" i="10"/>
  <c r="T11" i="10"/>
  <c r="O12" i="10"/>
  <c r="P12" i="10"/>
  <c r="R12" i="10"/>
  <c r="S12" i="10"/>
  <c r="U12" i="10" s="1"/>
  <c r="O13" i="10"/>
  <c r="P13" i="10"/>
  <c r="R13" i="10"/>
  <c r="S13" i="10"/>
  <c r="T13" i="10"/>
  <c r="U13" i="10"/>
  <c r="O14" i="10"/>
  <c r="P14" i="10"/>
  <c r="R14" i="10"/>
  <c r="S14" i="10"/>
  <c r="O15" i="10"/>
  <c r="P15" i="10"/>
  <c r="R15" i="10"/>
  <c r="S15" i="10"/>
  <c r="O16" i="10"/>
  <c r="P16" i="10"/>
  <c r="R16" i="10"/>
  <c r="S16" i="10"/>
  <c r="U16" i="10" s="1"/>
  <c r="O17" i="10"/>
  <c r="P17" i="10"/>
  <c r="R17" i="10"/>
  <c r="S17" i="10"/>
  <c r="O18" i="10"/>
  <c r="P18" i="10"/>
  <c r="R18" i="10"/>
  <c r="S18" i="10"/>
  <c r="U18" i="10" s="1"/>
  <c r="O19" i="10"/>
  <c r="P19" i="10"/>
  <c r="R19" i="10"/>
  <c r="S19" i="10"/>
  <c r="O20" i="10"/>
  <c r="P20" i="10"/>
  <c r="R20" i="10"/>
  <c r="S20" i="10"/>
  <c r="O21" i="10"/>
  <c r="P21" i="10"/>
  <c r="R21" i="10"/>
  <c r="S21" i="10"/>
  <c r="O22" i="10"/>
  <c r="P22" i="10"/>
  <c r="R22" i="10"/>
  <c r="S22" i="10"/>
  <c r="U22" i="10" s="1"/>
  <c r="O23" i="10"/>
  <c r="P23" i="10"/>
  <c r="R23" i="10"/>
  <c r="S23" i="10"/>
  <c r="O24" i="10"/>
  <c r="P24" i="10"/>
  <c r="R24" i="10"/>
  <c r="S24" i="10"/>
  <c r="O25" i="10"/>
  <c r="P25" i="10"/>
  <c r="R25" i="10"/>
  <c r="S25" i="10"/>
  <c r="O26" i="10"/>
  <c r="P26" i="10"/>
  <c r="R26" i="10"/>
  <c r="S26" i="10"/>
  <c r="O27" i="10"/>
  <c r="P27" i="10"/>
  <c r="R27" i="10"/>
  <c r="S27" i="10"/>
  <c r="T27" i="10" s="1"/>
  <c r="O28" i="10"/>
  <c r="P28" i="10"/>
  <c r="R28" i="10"/>
  <c r="S28" i="10"/>
  <c r="O29" i="10"/>
  <c r="P29" i="10"/>
  <c r="R29" i="10"/>
  <c r="S29" i="10"/>
  <c r="U29" i="10" s="1"/>
  <c r="O30" i="10"/>
  <c r="P30" i="10"/>
  <c r="R30" i="10"/>
  <c r="S30" i="10"/>
  <c r="O31" i="10"/>
  <c r="P31" i="10"/>
  <c r="R31" i="10"/>
  <c r="S31" i="10"/>
  <c r="O32" i="10"/>
  <c r="P32" i="10"/>
  <c r="R32" i="10"/>
  <c r="S32" i="10"/>
  <c r="O33" i="10"/>
  <c r="P33" i="10"/>
  <c r="R33" i="10"/>
  <c r="S33" i="10"/>
  <c r="O34" i="10"/>
  <c r="P34" i="10"/>
  <c r="R34" i="10"/>
  <c r="S34" i="10"/>
  <c r="U34" i="10" s="1"/>
  <c r="O35" i="10"/>
  <c r="P35" i="10"/>
  <c r="R35" i="10"/>
  <c r="S35" i="10"/>
  <c r="O36" i="10"/>
  <c r="P36" i="10"/>
  <c r="R36" i="10"/>
  <c r="S36" i="10"/>
  <c r="O37" i="10"/>
  <c r="P37" i="10"/>
  <c r="R37" i="10"/>
  <c r="S37" i="10"/>
  <c r="O38" i="10"/>
  <c r="P38" i="10"/>
  <c r="R38" i="10"/>
  <c r="S38" i="10"/>
  <c r="O39" i="10"/>
  <c r="P39" i="10"/>
  <c r="R39" i="10"/>
  <c r="S39" i="10"/>
  <c r="O40" i="10"/>
  <c r="P40" i="10"/>
  <c r="R40" i="10"/>
  <c r="S40" i="10"/>
  <c r="AJ2" i="9"/>
  <c r="AJ3" i="9"/>
  <c r="AJ4" i="9"/>
  <c r="AJ5" i="9"/>
  <c r="W2" i="8"/>
  <c r="X2" i="8"/>
  <c r="Y2" i="8"/>
  <c r="AG2" i="8"/>
  <c r="AH2" i="8"/>
  <c r="AI2" i="8"/>
  <c r="W3" i="8"/>
  <c r="X3" i="8"/>
  <c r="Y3" i="8"/>
  <c r="AG3" i="8"/>
  <c r="AH3" i="8"/>
  <c r="AI3" i="8"/>
  <c r="W4" i="8"/>
  <c r="X4" i="8"/>
  <c r="Y4" i="8"/>
  <c r="AG4" i="8"/>
  <c r="AH4" i="8"/>
  <c r="AI4" i="8"/>
  <c r="W5" i="8"/>
  <c r="X5" i="8"/>
  <c r="Y5" i="8"/>
  <c r="AG5" i="8"/>
  <c r="AH5" i="8"/>
  <c r="AI5" i="8"/>
  <c r="W6" i="8"/>
  <c r="X6" i="8"/>
  <c r="Y6" i="8"/>
  <c r="AG6" i="8"/>
  <c r="AH6" i="8"/>
  <c r="AI6" i="8"/>
  <c r="W7" i="8"/>
  <c r="X7" i="8"/>
  <c r="Y7" i="8"/>
  <c r="AG7" i="8"/>
  <c r="AH7" i="8"/>
  <c r="AI7" i="8"/>
  <c r="W8" i="8"/>
  <c r="X8" i="8"/>
  <c r="Y8" i="8"/>
  <c r="AG8" i="8"/>
  <c r="AH8" i="8"/>
  <c r="AI8" i="8"/>
  <c r="W9" i="8"/>
  <c r="X9" i="8"/>
  <c r="Y9" i="8"/>
  <c r="AG9" i="8"/>
  <c r="AH9" i="8"/>
  <c r="AI9" i="8"/>
  <c r="W10" i="8"/>
  <c r="X10" i="8"/>
  <c r="Y10" i="8"/>
  <c r="AG10" i="8"/>
  <c r="AH10" i="8"/>
  <c r="AI10" i="8"/>
  <c r="W11" i="8"/>
  <c r="X11" i="8"/>
  <c r="Y11" i="8"/>
  <c r="AG11" i="8"/>
  <c r="AH11" i="8"/>
  <c r="AI11" i="8"/>
  <c r="W12" i="8"/>
  <c r="X12" i="8"/>
  <c r="Y12" i="8"/>
  <c r="AG12" i="8"/>
  <c r="AH12" i="8"/>
  <c r="AI12" i="8"/>
  <c r="W13" i="8"/>
  <c r="X13" i="8"/>
  <c r="Y13" i="8"/>
  <c r="AG13" i="8"/>
  <c r="AH13" i="8"/>
  <c r="AI13" i="8"/>
  <c r="W14" i="8"/>
  <c r="X14" i="8"/>
  <c r="Y14" i="8"/>
  <c r="AG14" i="8"/>
  <c r="AH14" i="8"/>
  <c r="AI14" i="8"/>
  <c r="W15" i="8"/>
  <c r="X15" i="8"/>
  <c r="Y15" i="8"/>
  <c r="AG15" i="8"/>
  <c r="AH15" i="8"/>
  <c r="AI15" i="8"/>
  <c r="W16" i="8"/>
  <c r="X16" i="8"/>
  <c r="Y16" i="8"/>
  <c r="AG16" i="8"/>
  <c r="AH16" i="8"/>
  <c r="AI16" i="8"/>
  <c r="W17" i="8"/>
  <c r="X17" i="8"/>
  <c r="Y17" i="8"/>
  <c r="AG17" i="8"/>
  <c r="AH17" i="8"/>
  <c r="AI17" i="8"/>
  <c r="W18" i="8"/>
  <c r="X18" i="8"/>
  <c r="Y18" i="8"/>
  <c r="AG18" i="8"/>
  <c r="AH18" i="8"/>
  <c r="AI18" i="8"/>
  <c r="W19" i="8"/>
  <c r="X19" i="8"/>
  <c r="Y19" i="8"/>
  <c r="AG19" i="8"/>
  <c r="AH19" i="8"/>
  <c r="AI19" i="8"/>
  <c r="W20" i="8"/>
  <c r="X20" i="8"/>
  <c r="Y20" i="8"/>
  <c r="AG20" i="8"/>
  <c r="AH20" i="8"/>
  <c r="AI20" i="8"/>
  <c r="W21" i="8"/>
  <c r="X21" i="8"/>
  <c r="Y21" i="8"/>
  <c r="AG21" i="8"/>
  <c r="AH21" i="8"/>
  <c r="AI21" i="8"/>
  <c r="W22" i="8"/>
  <c r="X22" i="8"/>
  <c r="Y22" i="8"/>
  <c r="AG22" i="8"/>
  <c r="AH22" i="8"/>
  <c r="AI22" i="8"/>
  <c r="W23" i="8"/>
  <c r="X23" i="8"/>
  <c r="Y23" i="8"/>
  <c r="AG23" i="8"/>
  <c r="AH23" i="8"/>
  <c r="AI23" i="8"/>
  <c r="W24" i="8"/>
  <c r="X24" i="8"/>
  <c r="Y24" i="8"/>
  <c r="AG24" i="8"/>
  <c r="AH24" i="8"/>
  <c r="AI24" i="8"/>
  <c r="W25" i="8"/>
  <c r="X25" i="8"/>
  <c r="Y25" i="8"/>
  <c r="AG25" i="8"/>
  <c r="AH25" i="8"/>
  <c r="AI25" i="8"/>
  <c r="W26" i="8"/>
  <c r="X26" i="8"/>
  <c r="Y26" i="8"/>
  <c r="AG26" i="8"/>
  <c r="AH26" i="8"/>
  <c r="AI26" i="8"/>
  <c r="W27" i="8"/>
  <c r="X27" i="8"/>
  <c r="Y27" i="8"/>
  <c r="AG27" i="8"/>
  <c r="AH27" i="8"/>
  <c r="AI27" i="8"/>
  <c r="W28" i="8"/>
  <c r="X28" i="8"/>
  <c r="Y28" i="8"/>
  <c r="AG28" i="8"/>
  <c r="AH28" i="8"/>
  <c r="AI28" i="8"/>
  <c r="W29" i="8"/>
  <c r="X29" i="8"/>
  <c r="Y29" i="8"/>
  <c r="AG29" i="8"/>
  <c r="AH29" i="8"/>
  <c r="AI29" i="8"/>
  <c r="W30" i="8"/>
  <c r="X30" i="8"/>
  <c r="Y30" i="8"/>
  <c r="AG30" i="8"/>
  <c r="AH30" i="8"/>
  <c r="AI30" i="8"/>
  <c r="W31" i="8"/>
  <c r="X31" i="8"/>
  <c r="Y31" i="8"/>
  <c r="AG31" i="8"/>
  <c r="AH31" i="8"/>
  <c r="AI31" i="8"/>
  <c r="W32" i="8"/>
  <c r="X32" i="8"/>
  <c r="Y32" i="8"/>
  <c r="AG32" i="8"/>
  <c r="AH32" i="8"/>
  <c r="AI32" i="8"/>
  <c r="W33" i="8"/>
  <c r="X33" i="8"/>
  <c r="Y33" i="8"/>
  <c r="AG33" i="8"/>
  <c r="AH33" i="8"/>
  <c r="AI33" i="8"/>
  <c r="W34" i="8"/>
  <c r="X34" i="8"/>
  <c r="Y34" i="8"/>
  <c r="AG34" i="8"/>
  <c r="AH34" i="8"/>
  <c r="AI34" i="8"/>
  <c r="W35" i="8"/>
  <c r="X35" i="8"/>
  <c r="Y35" i="8"/>
  <c r="AG35" i="8"/>
  <c r="AH35" i="8"/>
  <c r="AI35" i="8"/>
  <c r="W36" i="8"/>
  <c r="X36" i="8"/>
  <c r="Y36" i="8"/>
  <c r="AG36" i="8"/>
  <c r="AH36" i="8"/>
  <c r="AI36" i="8"/>
  <c r="W37" i="8"/>
  <c r="X37" i="8"/>
  <c r="Y37" i="8"/>
  <c r="AG37" i="8"/>
  <c r="AH37" i="8"/>
  <c r="AI37" i="8"/>
  <c r="W38" i="8"/>
  <c r="X38" i="8"/>
  <c r="Y38" i="8"/>
  <c r="AG38" i="8"/>
  <c r="AH38" i="8"/>
  <c r="AI38" i="8"/>
  <c r="W39" i="8"/>
  <c r="X39" i="8"/>
  <c r="Y39" i="8"/>
  <c r="AG39" i="8"/>
  <c r="AH39" i="8"/>
  <c r="AI39" i="8"/>
  <c r="W40" i="8"/>
  <c r="X40" i="8"/>
  <c r="Y40" i="8"/>
  <c r="AG40" i="8"/>
  <c r="AH40" i="8"/>
  <c r="AI40" i="8"/>
  <c r="W41" i="8"/>
  <c r="X41" i="8"/>
  <c r="Y41" i="8"/>
  <c r="AG41" i="8"/>
  <c r="AH41" i="8"/>
  <c r="AI41" i="8"/>
  <c r="W42" i="8"/>
  <c r="X42" i="8"/>
  <c r="Y42" i="8"/>
  <c r="AG42" i="8"/>
  <c r="AH42" i="8"/>
  <c r="AI42" i="8"/>
  <c r="W43" i="8"/>
  <c r="X43" i="8"/>
  <c r="Y43" i="8"/>
  <c r="AG43" i="8"/>
  <c r="AH43" i="8"/>
  <c r="AI43" i="8"/>
  <c r="W44" i="8"/>
  <c r="X44" i="8"/>
  <c r="Y44" i="8"/>
  <c r="AG44" i="8"/>
  <c r="AH44" i="8"/>
  <c r="AI44" i="8"/>
  <c r="W45" i="8"/>
  <c r="X45" i="8"/>
  <c r="Y45" i="8"/>
  <c r="AG45" i="8"/>
  <c r="AH45" i="8"/>
  <c r="AI45" i="8"/>
  <c r="W46" i="8"/>
  <c r="X46" i="8"/>
  <c r="Y46" i="8"/>
  <c r="AG46" i="8"/>
  <c r="AH46" i="8"/>
  <c r="AI46" i="8"/>
  <c r="W47" i="8"/>
  <c r="X47" i="8"/>
  <c r="Y47" i="8"/>
  <c r="AG47" i="8"/>
  <c r="AH47" i="8"/>
  <c r="AI47" i="8"/>
  <c r="W48" i="8"/>
  <c r="X48" i="8"/>
  <c r="Y48" i="8"/>
  <c r="AG48" i="8"/>
  <c r="AH48" i="8"/>
  <c r="AI48" i="8"/>
  <c r="W49" i="8"/>
  <c r="X49" i="8"/>
  <c r="Y49" i="8"/>
  <c r="AG49" i="8"/>
  <c r="AH3" i="9" s="1"/>
  <c r="AH49" i="8"/>
  <c r="AI49" i="8"/>
  <c r="W50" i="8"/>
  <c r="X50" i="8"/>
  <c r="Y50" i="8"/>
  <c r="AG50" i="8"/>
  <c r="AH50" i="8"/>
  <c r="AI50" i="8"/>
  <c r="W51" i="8"/>
  <c r="X51" i="8"/>
  <c r="Y51" i="8"/>
  <c r="AG51" i="8"/>
  <c r="AH51" i="8"/>
  <c r="AI51" i="8"/>
  <c r="W52" i="8"/>
  <c r="X52" i="8"/>
  <c r="Y52" i="8"/>
  <c r="AG52" i="8"/>
  <c r="AH52" i="8"/>
  <c r="AI52" i="8"/>
  <c r="W53" i="8"/>
  <c r="X53" i="8"/>
  <c r="Y53" i="8"/>
  <c r="AG53" i="8"/>
  <c r="AH53" i="8"/>
  <c r="AI53" i="8"/>
  <c r="W54" i="8"/>
  <c r="X54" i="8"/>
  <c r="Y54" i="8"/>
  <c r="AG54" i="8"/>
  <c r="AH54" i="8"/>
  <c r="AI54" i="8"/>
  <c r="W55" i="8"/>
  <c r="X55" i="8"/>
  <c r="Y55" i="8"/>
  <c r="AG55" i="8"/>
  <c r="AH55" i="8"/>
  <c r="AI55" i="8"/>
  <c r="W56" i="8"/>
  <c r="X56" i="8"/>
  <c r="Y56" i="8"/>
  <c r="AG56" i="8"/>
  <c r="AH56" i="8"/>
  <c r="AI56" i="8"/>
  <c r="W57" i="8"/>
  <c r="X57" i="8"/>
  <c r="Y57" i="8"/>
  <c r="AG57" i="8"/>
  <c r="AH57" i="8"/>
  <c r="AI57" i="8"/>
  <c r="W58" i="8"/>
  <c r="X58" i="8"/>
  <c r="Y58" i="8"/>
  <c r="AG58" i="8"/>
  <c r="AH58" i="8"/>
  <c r="AI58" i="8"/>
  <c r="W59" i="8"/>
  <c r="X59" i="8"/>
  <c r="Y59" i="8"/>
  <c r="AG59" i="8"/>
  <c r="AH59" i="8"/>
  <c r="AI59" i="8"/>
  <c r="W60" i="8"/>
  <c r="X60" i="8"/>
  <c r="Y60" i="8"/>
  <c r="AG60" i="8"/>
  <c r="AH60" i="8"/>
  <c r="AI60" i="8"/>
  <c r="W61" i="8"/>
  <c r="X61" i="8"/>
  <c r="Y61" i="8"/>
  <c r="AG61" i="8"/>
  <c r="AH61" i="8"/>
  <c r="AI61" i="8"/>
  <c r="Y4" i="9" l="1" a="1"/>
  <c r="Y4" i="9" s="1"/>
  <c r="AA4" i="9" a="1"/>
  <c r="AA4" i="9" s="1"/>
  <c r="U5" i="9" a="1"/>
  <c r="U5" i="9" s="1"/>
  <c r="AB4" i="9" a="1"/>
  <c r="AB4" i="9" s="1"/>
  <c r="S5" i="9" a="1"/>
  <c r="S5" i="9" s="1"/>
  <c r="AD3" i="9" a="1"/>
  <c r="AD3" i="9" s="1"/>
  <c r="AE3" i="9" a="1"/>
  <c r="AE3" i="9" s="1"/>
  <c r="AD5" i="9" a="1"/>
  <c r="AD5" i="9" s="1"/>
  <c r="AF5" i="9" s="1"/>
  <c r="AE4" i="9" a="1"/>
  <c r="AE4" i="9" s="1"/>
  <c r="X3" i="9" a="1"/>
  <c r="X3" i="9" s="1"/>
  <c r="X5" i="9" a="1"/>
  <c r="X5" i="9" s="1"/>
  <c r="AE5" i="9" a="1"/>
  <c r="AE5" i="9" s="1"/>
  <c r="AD4" i="9" a="1"/>
  <c r="AD4" i="9" s="1"/>
  <c r="AF4" i="9" s="1"/>
  <c r="AF3" i="9"/>
  <c r="T32" i="10"/>
  <c r="T12" i="10"/>
  <c r="F12" i="10" s="1" a="1"/>
  <c r="F12" i="10" s="1"/>
  <c r="I12" i="10" s="1"/>
  <c r="T26" i="10"/>
  <c r="U2" i="10"/>
  <c r="U32" i="10"/>
  <c r="T37" i="10"/>
  <c r="U39" i="10"/>
  <c r="U35" i="10"/>
  <c r="U27" i="10"/>
  <c r="F27" i="10" s="1" a="1"/>
  <c r="F27" i="10" s="1"/>
  <c r="I27" i="10" s="1"/>
  <c r="J27" i="10" s="1"/>
  <c r="L27" i="10" s="1"/>
  <c r="M27" i="10" s="1"/>
  <c r="U4" i="10"/>
  <c r="AF2" i="9"/>
  <c r="T9" i="10"/>
  <c r="T38" i="10"/>
  <c r="U26" i="10"/>
  <c r="U11" i="10"/>
  <c r="F11" i="10" s="1" a="1"/>
  <c r="F11" i="10" s="1"/>
  <c r="U37" i="10"/>
  <c r="U33" i="10"/>
  <c r="T16" i="10"/>
  <c r="F16" i="10" s="1" a="1"/>
  <c r="F16" i="10" s="1"/>
  <c r="I16" i="10" s="1"/>
  <c r="J16" i="10" s="1"/>
  <c r="L16" i="10" s="1"/>
  <c r="Q16" i="10" s="1"/>
  <c r="U10" i="10"/>
  <c r="U6" i="10"/>
  <c r="U25" i="10"/>
  <c r="U21" i="10"/>
  <c r="U17" i="10"/>
  <c r="F13" i="10" a="1"/>
  <c r="F13" i="10" s="1"/>
  <c r="I13" i="10" s="1"/>
  <c r="T35" i="10"/>
  <c r="T36" i="10"/>
  <c r="U38" i="10"/>
  <c r="T5" i="10"/>
  <c r="T33" i="10"/>
  <c r="T3" i="10"/>
  <c r="U36" i="10"/>
  <c r="T29" i="10"/>
  <c r="F29" i="10" s="1" a="1"/>
  <c r="F29" i="10" s="1"/>
  <c r="I29" i="10" s="1"/>
  <c r="U23" i="10"/>
  <c r="T15" i="10"/>
  <c r="U20" i="10"/>
  <c r="T31" i="10"/>
  <c r="T19" i="10"/>
  <c r="U9" i="10"/>
  <c r="U5" i="10"/>
  <c r="T22" i="10"/>
  <c r="F22" i="10" s="1" a="1"/>
  <c r="F22" i="10" s="1"/>
  <c r="I22" i="10" s="1"/>
  <c r="T8" i="10"/>
  <c r="T28" i="10"/>
  <c r="T21" i="10"/>
  <c r="T17" i="10"/>
  <c r="T7" i="10"/>
  <c r="U3" i="10"/>
  <c r="T6" i="10"/>
  <c r="T30" i="10"/>
  <c r="T23" i="10"/>
  <c r="T2" i="10"/>
  <c r="T18" i="10"/>
  <c r="F18" i="10" s="1" a="1"/>
  <c r="F18" i="10" s="1"/>
  <c r="I18" i="10" s="1"/>
  <c r="T40" i="10"/>
  <c r="U15" i="10"/>
  <c r="T25" i="10"/>
  <c r="T39" i="10"/>
  <c r="T4" i="10"/>
  <c r="U40" i="10"/>
  <c r="T20" i="10"/>
  <c r="U14" i="10"/>
  <c r="U31" i="10"/>
  <c r="U28" i="10"/>
  <c r="U19" i="10"/>
  <c r="U8" i="10"/>
  <c r="T10" i="10"/>
  <c r="U7" i="10"/>
  <c r="U30" i="10"/>
  <c r="T24" i="10"/>
  <c r="U24" i="10"/>
  <c r="T14" i="10"/>
  <c r="T34" i="10"/>
  <c r="F34" i="10" s="1" a="1"/>
  <c r="F34" i="10" s="1"/>
  <c r="AC4" i="9"/>
  <c r="V5" i="9" a="1"/>
  <c r="V5" i="9" s="1"/>
  <c r="W5" i="9" s="1"/>
  <c r="U3" i="9" a="1"/>
  <c r="U3" i="9" s="1"/>
  <c r="AH5" i="9"/>
  <c r="R5" i="9" a="1"/>
  <c r="R5" i="9" s="1"/>
  <c r="T5" i="9" s="1"/>
  <c r="V2" i="9" a="1"/>
  <c r="V2" i="9" s="1"/>
  <c r="U2" i="9" a="1"/>
  <c r="U2" i="9" s="1"/>
  <c r="W2" i="9" s="1"/>
  <c r="U4" i="9" a="1"/>
  <c r="U4" i="9" s="1"/>
  <c r="W4" i="9" s="1"/>
  <c r="AA5" i="9" a="1"/>
  <c r="AA5" i="9" s="1"/>
  <c r="AH2" i="9"/>
  <c r="S2" i="9" a="1"/>
  <c r="S2" i="9" s="1"/>
  <c r="R3" i="9" a="1"/>
  <c r="R3" i="9" s="1"/>
  <c r="T3" i="9" s="1"/>
  <c r="AB5" i="9" a="1"/>
  <c r="AB5" i="9" s="1"/>
  <c r="AA3" i="9" a="1"/>
  <c r="AA3" i="9" s="1"/>
  <c r="Y3" i="9" a="1"/>
  <c r="Y3" i="9" s="1"/>
  <c r="Z3" i="9" s="1"/>
  <c r="AB3" i="9" a="1"/>
  <c r="AB3" i="9" s="1"/>
  <c r="AH4" i="9"/>
  <c r="S4" i="9" a="1"/>
  <c r="S4" i="9" s="1"/>
  <c r="R2" i="9" a="1"/>
  <c r="R2" i="9" s="1"/>
  <c r="T2" i="9" s="1"/>
  <c r="X2" i="9" a="1"/>
  <c r="X2" i="9" s="1"/>
  <c r="Z2" i="9" s="1"/>
  <c r="V4" i="9" a="1"/>
  <c r="V4" i="9" s="1"/>
  <c r="X4" i="9" a="1"/>
  <c r="X4" i="9" s="1"/>
  <c r="Z4" i="9" s="1"/>
  <c r="Y2" i="9" a="1"/>
  <c r="Y2" i="9" s="1"/>
  <c r="S3" i="9" a="1"/>
  <c r="S3" i="9" s="1"/>
  <c r="Y5" i="9" a="1"/>
  <c r="Y5" i="9" s="1"/>
  <c r="V3" i="9" a="1"/>
  <c r="V3" i="9" s="1"/>
  <c r="R4" i="9" a="1"/>
  <c r="R4" i="9" s="1"/>
  <c r="AB2" i="9" a="1"/>
  <c r="AB2" i="9" s="1"/>
  <c r="AA2" i="9" a="1"/>
  <c r="AA2" i="9" s="1"/>
  <c r="AC2" i="9" s="1"/>
  <c r="F39" i="10" l="1" a="1"/>
  <c r="F39" i="10" s="1"/>
  <c r="I39" i="10" s="1"/>
  <c r="J39" i="10" s="1"/>
  <c r="L39" i="10" s="1"/>
  <c r="Q39" i="10" s="1"/>
  <c r="Z5" i="9"/>
  <c r="F32" i="10" a="1"/>
  <c r="F32" i="10" s="1"/>
  <c r="I32" i="10" s="1"/>
  <c r="F9" i="10" a="1"/>
  <c r="F9" i="10" s="1"/>
  <c r="I9" i="10" s="1"/>
  <c r="J9" i="10" s="1"/>
  <c r="L9" i="10" s="1"/>
  <c r="Q9" i="10" s="1"/>
  <c r="AC3" i="9"/>
  <c r="F4" i="10" a="1"/>
  <c r="F4" i="10" s="1"/>
  <c r="I4" i="10" s="1"/>
  <c r="J4" i="10" s="1"/>
  <c r="L4" i="10" s="1"/>
  <c r="Q4" i="10" s="1"/>
  <c r="W3" i="9"/>
  <c r="F2" i="10" a="1"/>
  <c r="F2" i="10" s="1"/>
  <c r="I2" i="10" s="1"/>
  <c r="J2" i="10" s="1"/>
  <c r="L2" i="10" s="1"/>
  <c r="Q2" i="10" s="1"/>
  <c r="F26" i="10" a="1"/>
  <c r="F26" i="10" s="1"/>
  <c r="I26" i="10" s="1"/>
  <c r="J26" i="10" s="1"/>
  <c r="L26" i="10" s="1"/>
  <c r="Q26" i="10" s="1"/>
  <c r="F38" i="10" a="1"/>
  <c r="F38" i="10" s="1"/>
  <c r="I38" i="10" s="1"/>
  <c r="J38" i="10" s="1"/>
  <c r="L38" i="10" s="1"/>
  <c r="Q38" i="10" s="1"/>
  <c r="F30" i="10" a="1"/>
  <c r="F30" i="10" s="1"/>
  <c r="I30" i="10" s="1"/>
  <c r="F25" i="10" a="1"/>
  <c r="F25" i="10" s="1"/>
  <c r="I25" i="10" s="1"/>
  <c r="J25" i="10" s="1"/>
  <c r="L25" i="10" s="1"/>
  <c r="Q25" i="10" s="1"/>
  <c r="F37" i="10" a="1"/>
  <c r="F37" i="10" s="1"/>
  <c r="I37" i="10" s="1"/>
  <c r="J37" i="10" s="1"/>
  <c r="L37" i="10" s="1"/>
  <c r="M37" i="10" s="1"/>
  <c r="F6" i="10" a="1"/>
  <c r="F6" i="10" s="1"/>
  <c r="I6" i="10" s="1"/>
  <c r="J6" i="10" s="1"/>
  <c r="L6" i="10" s="1"/>
  <c r="Q6" i="10" s="1"/>
  <c r="F33" i="10" a="1"/>
  <c r="F33" i="10" s="1"/>
  <c r="I33" i="10" s="1"/>
  <c r="J33" i="10" s="1"/>
  <c r="L33" i="10" s="1"/>
  <c r="M33" i="10" s="1"/>
  <c r="F19" i="10" a="1"/>
  <c r="F19" i="10" s="1"/>
  <c r="F17" i="10" a="1"/>
  <c r="F17" i="10" s="1"/>
  <c r="I17" i="10" s="1"/>
  <c r="J17" i="10" s="1"/>
  <c r="L17" i="10" s="1"/>
  <c r="Q17" i="10" s="1"/>
  <c r="F31" i="10" a="1"/>
  <c r="F31" i="10" s="1"/>
  <c r="I31" i="10" s="1"/>
  <c r="J31" i="10" s="1"/>
  <c r="L31" i="10" s="1"/>
  <c r="Q31" i="10" s="1"/>
  <c r="F21" i="10" a="1"/>
  <c r="F21" i="10" s="1"/>
  <c r="I21" i="10" s="1"/>
  <c r="F35" i="10" a="1"/>
  <c r="F35" i="10" s="1"/>
  <c r="I35" i="10" s="1"/>
  <c r="J35" i="10" s="1"/>
  <c r="L35" i="10" s="1"/>
  <c r="Q35" i="10" s="1"/>
  <c r="F40" i="10" a="1"/>
  <c r="F40" i="10" s="1"/>
  <c r="F5" i="10" a="1"/>
  <c r="F5" i="10" s="1"/>
  <c r="I5" i="10" s="1"/>
  <c r="J5" i="10" s="1"/>
  <c r="L5" i="10" s="1"/>
  <c r="Q5" i="10" s="1"/>
  <c r="F10" i="10" a="1"/>
  <c r="F10" i="10" s="1"/>
  <c r="I10" i="10" s="1"/>
  <c r="F36" i="10" a="1"/>
  <c r="F36" i="10" s="1"/>
  <c r="I36" i="10" s="1"/>
  <c r="J36" i="10" s="1"/>
  <c r="L36" i="10" s="1"/>
  <c r="Q36" i="10" s="1"/>
  <c r="F15" i="10" a="1"/>
  <c r="F15" i="10" s="1"/>
  <c r="I15" i="10" s="1"/>
  <c r="J15" i="10" s="1"/>
  <c r="L15" i="10" s="1"/>
  <c r="M15" i="10" s="1"/>
  <c r="F8" i="10" a="1"/>
  <c r="F8" i="10" s="1"/>
  <c r="I8" i="10" s="1"/>
  <c r="Q29" i="10"/>
  <c r="F23" i="10" a="1"/>
  <c r="F23" i="10" s="1"/>
  <c r="I23" i="10" s="1"/>
  <c r="J23" i="10" s="1"/>
  <c r="L23" i="10" s="1"/>
  <c r="Q23" i="10" s="1"/>
  <c r="F28" i="10" a="1"/>
  <c r="F28" i="10" s="1"/>
  <c r="I28" i="10" s="1"/>
  <c r="J28" i="10" s="1"/>
  <c r="L28" i="10" s="1"/>
  <c r="Q28" i="10" s="1"/>
  <c r="F7" i="10" a="1"/>
  <c r="F7" i="10" s="1"/>
  <c r="I7" i="10" s="1"/>
  <c r="J7" i="10" s="1"/>
  <c r="L7" i="10" s="1"/>
  <c r="M7" i="10" s="1"/>
  <c r="F3" i="10" a="1"/>
  <c r="F3" i="10" s="1"/>
  <c r="I3" i="10" s="1"/>
  <c r="J3" i="10" s="1"/>
  <c r="L3" i="10" s="1"/>
  <c r="M3" i="10" s="1"/>
  <c r="F20" i="10" a="1"/>
  <c r="F20" i="10" s="1"/>
  <c r="I20" i="10" s="1"/>
  <c r="J20" i="10" s="1"/>
  <c r="L20" i="10" s="1"/>
  <c r="M20" i="10" s="1"/>
  <c r="F24" i="10" a="1"/>
  <c r="F24" i="10" s="1"/>
  <c r="I24" i="10" s="1"/>
  <c r="M16" i="10"/>
  <c r="Q27" i="10"/>
  <c r="F14" i="10" a="1"/>
  <c r="F14" i="10" s="1"/>
  <c r="I14" i="10" s="1"/>
  <c r="I11" i="10"/>
  <c r="I34" i="10"/>
  <c r="J32" i="10"/>
  <c r="L32" i="10" s="1"/>
  <c r="Q32" i="10" s="1"/>
  <c r="J18" i="10"/>
  <c r="L18" i="10" s="1"/>
  <c r="M18" i="10" s="1"/>
  <c r="J22" i="10"/>
  <c r="L22" i="10" s="1"/>
  <c r="Q22" i="10" s="1"/>
  <c r="J12" i="10"/>
  <c r="L12" i="10" s="1"/>
  <c r="Q12" i="10" s="1"/>
  <c r="J13" i="10"/>
  <c r="L13" i="10" s="1"/>
  <c r="Q13" i="10" s="1"/>
  <c r="J29" i="10"/>
  <c r="L29" i="10" s="1"/>
  <c r="M29" i="10" s="1"/>
  <c r="Q4" i="9"/>
  <c r="AG4" i="9"/>
  <c r="T4" i="9"/>
  <c r="Q2" i="9"/>
  <c r="Q3" i="9"/>
  <c r="AC5" i="9"/>
  <c r="M32" i="10" l="1"/>
  <c r="M22" i="10"/>
  <c r="I40" i="10"/>
  <c r="J40" i="10" s="1"/>
  <c r="L40" i="10" s="1"/>
  <c r="M40" i="10" s="1"/>
  <c r="Q37" i="10"/>
  <c r="M17" i="10"/>
  <c r="I19" i="10"/>
  <c r="J19" i="10" s="1"/>
  <c r="L19" i="10" s="1"/>
  <c r="M6" i="10"/>
  <c r="M9" i="10"/>
  <c r="M36" i="10"/>
  <c r="Q3" i="10"/>
  <c r="J8" i="10"/>
  <c r="L8" i="10" s="1"/>
  <c r="Q8" i="10" s="1"/>
  <c r="Q7" i="10"/>
  <c r="M31" i="10"/>
  <c r="M38" i="10"/>
  <c r="M12" i="10"/>
  <c r="Q18" i="10"/>
  <c r="M26" i="10"/>
  <c r="Q33" i="10"/>
  <c r="J21" i="10"/>
  <c r="L21" i="10" s="1"/>
  <c r="Q21" i="10" s="1"/>
  <c r="M13" i="10"/>
  <c r="M35" i="10"/>
  <c r="M4" i="10"/>
  <c r="M25" i="10"/>
  <c r="M39" i="10"/>
  <c r="J14" i="10"/>
  <c r="L14" i="10" s="1"/>
  <c r="Q14" i="10" s="1"/>
  <c r="J11" i="10"/>
  <c r="L11" i="10" s="1"/>
  <c r="Q11" i="10" s="1"/>
  <c r="Q20" i="10"/>
  <c r="J24" i="10"/>
  <c r="L24" i="10" s="1"/>
  <c r="Q24" i="10" s="1"/>
  <c r="M2" i="10"/>
  <c r="J30" i="10"/>
  <c r="L30" i="10" s="1"/>
  <c r="Q30" i="10" s="1"/>
  <c r="M5" i="10"/>
  <c r="M28" i="10"/>
  <c r="Q15" i="10"/>
  <c r="J34" i="10"/>
  <c r="L34" i="10" s="1"/>
  <c r="Q34" i="10" s="1"/>
  <c r="J10" i="10"/>
  <c r="L10" i="10" s="1"/>
  <c r="Q10" i="10" s="1"/>
  <c r="M23" i="10"/>
  <c r="AG3" i="9"/>
  <c r="AG2" i="9"/>
  <c r="Q5" i="9"/>
  <c r="AG5" i="9"/>
  <c r="M19" i="10" l="1"/>
  <c r="M10" i="10"/>
  <c r="M21" i="10"/>
  <c r="Q19" i="10"/>
  <c r="Q40" i="10"/>
  <c r="M8" i="10"/>
  <c r="M24" i="10"/>
  <c r="M11" i="10"/>
  <c r="M14" i="10"/>
  <c r="M34" i="10"/>
  <c r="M30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<sst xmlns="http://schemas.openxmlformats.org/spreadsheetml/2006/main" count="138" uniqueCount="122">
  <si>
    <t>Time</t>
  </si>
  <si>
    <t>Data</t>
  </si>
  <si>
    <t>Competição</t>
  </si>
  <si>
    <t>Adversário</t>
  </si>
  <si>
    <t>Mando</t>
  </si>
  <si>
    <t>Gols Pró</t>
  </si>
  <si>
    <t>Gols Contra</t>
  </si>
  <si>
    <t>xG Pró</t>
  </si>
  <si>
    <t>xG Contra</t>
  </si>
  <si>
    <t>Escanteios Pró</t>
  </si>
  <si>
    <t>Escanteios Contra</t>
  </si>
  <si>
    <t>Cartões Pró</t>
  </si>
  <si>
    <t>Cartões Contra</t>
  </si>
  <si>
    <t>Chutes Pró</t>
  </si>
  <si>
    <t>Chutes Contra</t>
  </si>
  <si>
    <t>Chutes Gol Pró</t>
  </si>
  <si>
    <t>Chutes Gol Contra</t>
  </si>
  <si>
    <t>Posse Pró</t>
  </si>
  <si>
    <t>Faltas Time</t>
  </si>
  <si>
    <t>Faltas Adv</t>
  </si>
  <si>
    <t>Gols 1T Time</t>
  </si>
  <si>
    <t>Gols 1T Adv</t>
  </si>
  <si>
    <t>BTTS</t>
  </si>
  <si>
    <t>Saldo</t>
  </si>
  <si>
    <t>Resultado</t>
  </si>
  <si>
    <t>Favoritismo (preencher depois)</t>
  </si>
  <si>
    <t>Estilo do Adversário (preencher depois)</t>
  </si>
  <si>
    <t>Bloco Baixo (1-5) (preencher depois)</t>
  </si>
  <si>
    <t>Pressão Alta (1-5) (preencher depois)</t>
  </si>
  <si>
    <t>Transição Rápida (1-5) (preencher depois)</t>
  </si>
  <si>
    <t>Posse/Dominância (1-5) (preencher depois)</t>
  </si>
  <si>
    <t>Bola Parada/Físico (1-5) (preencher depois)</t>
  </si>
  <si>
    <t>Aderência ao alvo (%)</t>
  </si>
  <si>
    <t>Aderência Favoritismo</t>
  </si>
  <si>
    <t>Peso</t>
  </si>
  <si>
    <t>Peso Final</t>
  </si>
  <si>
    <t>Portugal</t>
  </si>
  <si>
    <t>Spain</t>
  </si>
  <si>
    <t>Posse, talento, Ronaldo</t>
  </si>
  <si>
    <t>Estilo Time</t>
  </si>
  <si>
    <t>Estilo Adversário</t>
  </si>
  <si>
    <t>Favoristismo</t>
  </si>
  <si>
    <t>Bloco Baixo (1-5)</t>
  </si>
  <si>
    <t>Pressão Alta (1-5)</t>
  </si>
  <si>
    <t>Transição (1-5)</t>
  </si>
  <si>
    <t>Posse (1-5)</t>
  </si>
  <si>
    <t>Bola Parada (1-5)</t>
  </si>
  <si>
    <t>Ataca Fundo? (S/N)</t>
  </si>
  <si>
    <t>Contexto/Classificação</t>
  </si>
  <si>
    <t>Observações</t>
  </si>
  <si>
    <t>Gols Total</t>
  </si>
  <si>
    <t>Cartões Total</t>
  </si>
  <si>
    <t>Escanteios Total</t>
  </si>
  <si>
    <t>Chutes Total</t>
  </si>
  <si>
    <t>Chutes a gol Total</t>
  </si>
  <si>
    <t>Gols 1T Pró</t>
  </si>
  <si>
    <t>Gols 1T Contra</t>
  </si>
  <si>
    <t>Gols 1T Total</t>
  </si>
  <si>
    <t>Confiab Filtro</t>
  </si>
  <si>
    <t>Chave</t>
  </si>
  <si>
    <t>06/07/2026</t>
  </si>
  <si>
    <t>Posse dominante, Yamal</t>
  </si>
  <si>
    <t>N</t>
  </si>
  <si>
    <t>Mata-mata equilibrado. Ambos posse (não bloco baixo), nenhum ataca a linha de fundo → jogo comprimido, poucos cantos, Under com leve suporte.</t>
  </si>
  <si>
    <t>Jogo</t>
  </si>
  <si>
    <t>Mercado</t>
  </si>
  <si>
    <t>Tipo</t>
  </si>
  <si>
    <t>P.Plan</t>
  </si>
  <si>
    <t>P.Font</t>
  </si>
  <si>
    <t>P.Mkt</t>
  </si>
  <si>
    <t>P.Comb</t>
  </si>
  <si>
    <t>Odd Gatilho</t>
  </si>
  <si>
    <t>Odd Mercado</t>
  </si>
  <si>
    <t>Edge</t>
  </si>
  <si>
    <t>Veredito</t>
  </si>
  <si>
    <t>Odd Betano</t>
  </si>
  <si>
    <t>Veredito Betano</t>
  </si>
  <si>
    <t>Stake</t>
  </si>
  <si>
    <t>Critérios</t>
  </si>
  <si>
    <t>TimeA</t>
  </si>
  <si>
    <t>TimeB</t>
  </si>
  <si>
    <t>λ_A</t>
  </si>
  <si>
    <t>λ_B</t>
  </si>
  <si>
    <t>Placar Modal</t>
  </si>
  <si>
    <t>P. Mandante</t>
  </si>
  <si>
    <t>P. Empate</t>
  </si>
  <si>
    <t>P. Visitante</t>
  </si>
  <si>
    <t>Consenso</t>
  </si>
  <si>
    <t>Melhor Aposta (Fontes)</t>
  </si>
  <si>
    <t>Pontos de Atenção</t>
  </si>
  <si>
    <t>📋  CRITÉRIOS DE SELEÇÃO — Como cada tabela funciona</t>
  </si>
  <si>
    <t>Tabela</t>
  </si>
  <si>
    <t>Critério de probabilidade</t>
  </si>
  <si>
    <t>Filtro de odd</t>
  </si>
  <si>
    <t>Lógica / ROI histórico</t>
  </si>
  <si>
    <t>🎯 Edge Real</t>
  </si>
  <si>
    <t>P.plan &gt; P.font &gt; P.mkt, todos &gt; 60%</t>
  </si>
  <si>
    <t>Sem piso de odd</t>
  </si>
  <si>
    <t>Ineficiência real: planilha enxerga algo que mercado e fontes subestimam. PRIORIDADE MÁXIMA.</t>
  </si>
  <si>
    <t>📡 Sinal Externo</t>
  </si>
  <si>
    <t>P.font &gt; P.mkt, P &gt; 60%, planilha não contradiz</t>
  </si>
  <si>
    <t>Fontes mais confiantes que o mercado. Uma fonte contra o mercado. Entrar em 100%.</t>
  </si>
  <si>
    <t>✅ Alta Certeza</t>
  </si>
  <si>
    <t>P.comb &gt; 65%, gatilho ≤ 1.80</t>
  </si>
  <si>
    <t>Odd ≥ 1.40</t>
  </si>
  <si>
    <t>Validado: odd&lt;1.40 → ROI -8% | odd≥1.40 → ROI +38.8% (89% acerto). Piso obrigatório.</t>
  </si>
  <si>
    <t>📊 Referência</t>
  </si>
  <si>
    <t>P.comb &gt; 55%, edge &gt; 10%</t>
  </si>
  <si>
    <t>Sem piso</t>
  </si>
  <si>
    <t>Apenas análise. Não entrar automaticamente. ROI histórico -41%.</t>
  </si>
  <si>
    <t>Parâmetros do Modelo</t>
  </si>
  <si>
    <t>BTTS (Both Teams To Score)</t>
  </si>
  <si>
    <t>Valor</t>
  </si>
  <si>
    <t>Descrição</t>
  </si>
  <si>
    <t>Piso mínimo de λ</t>
  </si>
  <si>
    <t>Gols esperados mínimos por time (evita defesas irreais como 0)</t>
  </si>
  <si>
    <t>Peso do time (α)</t>
  </si>
  <si>
    <t>% que vem do cálculo histórico; o resto vem da taxa base</t>
  </si>
  <si>
    <t>Taxa base (gols/time)</t>
  </si>
  <si>
    <t>Média de gols marcados por time em jogos internacionais top</t>
  </si>
  <si>
    <t>Critério 1</t>
  </si>
  <si>
    <t>Critério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</si>
</sst>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9"/>
      <color rgb="FFFFFFFF"/>
      <name val="Calibri"/>
      <family val="2"/>
      <charset val="1"/>
    </font>
    <font>
      <b/>
      <sz val="11"/>
      <color rgb="FF006100"/>
      <name val="Arial"/>
      <family val="2"/>
      <charset val="1"/>
    </font>
    <font>
      <b/>
      <sz val="11"/>
      <color rgb="FF9C6500"/>
      <name val="Arial"/>
      <family val="2"/>
      <charset val="1"/>
    </font>
    <font>
      <b/>
      <sz val="11"/>
      <color rgb="FF9C0006"/>
      <name val="Arial"/>
      <family val="2"/>
      <charset val="1"/>
    </font>
    <font>
      <b/>
      <sz val="11"/>
      <color theme="1"/>
      <name val="Calibri"/>
      <family val="2"/>
      <charset val="1"/>
    </font>
    <font>
      <sz val="9"/>
      <color rgb="FF000000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2"/>
      <color rgb="FFFFFFFF"/>
      <name val="Calibri"/>
      <family val="2"/>
      <charset val="1"/>
    </font>
    <font>
      <b/>
      <sz val="10"/>
      <color theme="1"/>
      <name val="Calibri"/>
      <family val="2"/>
      <charset val="1"/>
    </font>
    <font>
      <sz val="11"/>
      <color rgb="FF0000FF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1D2330"/>
      </patternFill>
    </fill>
    <fill>
      <patternFill patternType="solid">
        <fgColor rgb="FFC6EFCE"/>
        <bgColor rgb="FFD9EAD3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4CCCC"/>
      </patternFill>
    </fill>
    <fill>
      <patternFill patternType="solid">
        <fgColor rgb="FF1D2330"/>
        <bgColor rgb="FF1F3864"/>
      </patternFill>
    </fill>
    <fill>
      <patternFill patternType="solid">
        <fgColor rgb="FFDDEBF7"/>
        <bgColor rgb="FFE2E3E5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EADCF8"/>
        <bgColor rgb="FFE2E3E5"/>
      </patternFill>
    </fill>
    <fill>
      <patternFill patternType="solid">
        <fgColor rgb="FFF4CCCC"/>
        <bgColor rgb="FFFFC7CE"/>
      </patternFill>
    </fill>
    <fill>
      <patternFill patternType="solid">
        <fgColor rgb="FFD9EAD3"/>
        <bgColor rgb="FFE2F0D9"/>
      </patternFill>
    </fill>
    <fill>
      <patternFill patternType="solid">
        <fgColor rgb="FF7B2D8B"/>
        <bgColor rgb="FF604A7B"/>
      </patternFill>
    </fill>
    <fill>
      <patternFill patternType="solid">
        <fgColor rgb="FFFFFFFF"/>
        <bgColor rgb="FFFFF2CC"/>
      </patternFill>
    </fill>
    <fill>
      <patternFill patternType="solid">
        <fgColor rgb="FFC55A11"/>
        <bgColor rgb="FFE46C0A"/>
      </patternFill>
    </fill>
    <fill>
      <patternFill patternType="solid">
        <fgColor rgb="FF2E75B6"/>
        <bgColor rgb="FF376092"/>
      </patternFill>
    </fill>
    <fill>
      <patternFill patternType="solid">
        <fgColor rgb="FF375623"/>
        <bgColor rgb="FF4F6228"/>
      </patternFill>
    </fill>
    <fill>
      <patternFill patternType="solid">
        <fgColor rgb="FFDDEBF7"/>
        <bgColor indexed="64"/>
      </patternFill>
    </fill>
    <fill>
      <patternFill patternType="solid">
        <fgColor rgb="FF1F3864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7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9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0" fillId="8" borderId="3" xfId="0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7" fillId="12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9" fontId="1" fillId="0" borderId="0" xfId="1" applyAlignment="1">
      <alignment horizontal="center"/>
    </xf>
    <xf numFmtId="0" fontId="12" fillId="20" borderId="0" xfId="0" applyFont="1" applyFill="1" applyAlignment="1">
      <alignment horizontal="left"/>
    </xf>
    <xf numFmtId="0" fontId="13" fillId="19" borderId="0" xfId="0" applyFont="1" applyFill="1" applyAlignment="1">
      <alignment horizontal="left"/>
    </xf>
    <xf numFmtId="0" fontId="13" fillId="19" borderId="0" xfId="0" applyFont="1" applyFill="1" applyAlignment="1">
      <alignment horizontal="center"/>
    </xf>
    <xf numFmtId="2" fontId="14" fillId="0" borderId="0" xfId="0" applyNumberFormat="1" applyFont="1" applyAlignment="1">
      <alignment horizontal="center"/>
    </xf>
    <xf numFmtId="9" fontId="14" fillId="0" borderId="0" xfId="0" applyNumberFormat="1" applyFont="1" applyAlignment="1">
      <alignment horizontal="center"/>
    </xf>
    <xf numFmtId="0" fontId="7" fillId="15" borderId="6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22">
    <dxf>
      <font>
        <b/>
        <color rgb="FFFFFFFF"/>
      </font>
      <fill>
        <patternFill>
          <bgColor theme="5" tint="-0.249977111117893"/>
        </patternFill>
      </fill>
    </dxf>
    <dxf>
      <font>
        <b/>
        <color rgb="FFFFFFFF"/>
      </font>
      <fill>
        <patternFill>
          <bgColor theme="6" tint="-0.499984740745262"/>
        </patternFill>
      </fill>
    </dxf>
    <dxf>
      <font>
        <b/>
        <color rgb="FFFFFFFF"/>
      </font>
      <fill>
        <patternFill>
          <bgColor theme="4" tint="-0.249977111117893"/>
        </patternFill>
      </fill>
    </dxf>
    <dxf>
      <font>
        <b/>
        <color rgb="FFFFFFFF"/>
      </font>
      <fill>
        <patternFill>
          <bgColor theme="9" tint="-0.249977111117893"/>
        </patternFill>
      </fill>
    </dxf>
    <dxf>
      <font>
        <b/>
        <color rgb="FFFFFFFF"/>
      </font>
      <fill>
        <patternFill>
          <bgColor theme="7" tint="-0.249977111117893"/>
        </patternFill>
      </fill>
    </dxf>
    <dxf>
      <font>
        <color rgb="FF000000"/>
      </font>
      <fill>
        <patternFill>
          <bgColor rgb="FF006100"/>
        </patternFill>
      </fill>
    </dxf>
    <dxf>
      <font>
        <color rgb="FF000000"/>
      </font>
      <fill>
        <patternFill>
          <bgColor rgb="FFC6EFCE"/>
        </patternFill>
      </fill>
    </dxf>
    <dxf>
      <font>
        <color rgb="FF000000"/>
      </font>
      <fill>
        <patternFill>
          <bgColor rgb="FFF4B183"/>
        </patternFill>
      </fill>
    </dxf>
    <dxf>
      <font>
        <color rgb="FF000000"/>
      </font>
      <fill>
        <patternFill>
          <bgColor rgb="FFFFF2CC"/>
        </patternFill>
      </fill>
    </dxf>
    <dxf>
      <font>
        <color rgb="FF000000"/>
      </font>
      <fill>
        <patternFill>
          <bgColor rgb="FFF4CCCC"/>
        </patternFill>
      </fill>
    </dxf>
    <dxf>
      <font>
        <color rgb="FF000000"/>
      </font>
      <fill>
        <patternFill>
          <bgColor rgb="FFC00000"/>
        </patternFill>
      </fill>
    </dxf>
    <dxf>
      <font>
        <color rgb="FF000000"/>
      </font>
      <fill>
        <patternFill>
          <bgColor rgb="FFD9EAD3"/>
        </patternFill>
      </fill>
    </dxf>
    <dxf>
      <font>
        <color rgb="FF000000"/>
      </font>
      <fill>
        <patternFill>
          <bgColor rgb="FFF4CCCC"/>
        </patternFill>
      </fill>
    </dxf>
    <dxf>
      <font>
        <color rgb="FF000000"/>
      </font>
      <fill>
        <patternFill>
          <bgColor rgb="FFEADCF8"/>
        </patternFill>
      </fill>
    </dxf>
    <dxf>
      <font>
        <color rgb="FF000000"/>
      </font>
      <fill>
        <patternFill>
          <bgColor rgb="FFFCE4D6"/>
        </patternFill>
      </fill>
    </dxf>
    <dxf>
      <font>
        <color rgb="FF000000"/>
      </font>
      <fill>
        <patternFill>
          <bgColor rgb="FFFFF2CC"/>
        </patternFill>
      </fill>
    </dxf>
    <dxf>
      <font>
        <color rgb="FF000000"/>
      </font>
      <fill>
        <patternFill>
          <bgColor theme="2" tint="-9.9978637043366805E-2"/>
        </patternFill>
      </fill>
    </dxf>
    <dxf>
      <font>
        <color rgb="FF000000"/>
      </font>
      <fill>
        <patternFill>
          <bgColor rgb="FFDDEBF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fill>
        <patternFill patternType="solid">
          <fgColor rgb="FFE2F0D9"/>
          <bgColor rgb="FFD9EAD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1"/>
        <scheme val="none"/>
      </font>
      <fill>
        <patternFill patternType="solid">
          <fgColor rgb="FFE2F0D9"/>
          <bgColor rgb="FFD9EAD3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D9EAD3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4F6228"/>
      <rgbColor rgb="FFE2E3E5"/>
      <rgbColor rgb="FF953735"/>
      <rgbColor rgb="FFFFF2CC"/>
      <rgbColor rgb="FFDDEBF7"/>
      <rgbColor rgb="FF660066"/>
      <rgbColor rgb="FFFF8080"/>
      <rgbColor rgb="FF0066CC"/>
      <rgbColor rgb="FFEADC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B9C"/>
      <rgbColor rgb="FFDDD9C3"/>
      <rgbColor rgb="FFF4B183"/>
      <rgbColor rgb="FFFFC7CE"/>
      <rgbColor rgb="FFF4CCCC"/>
      <rgbColor rgb="FF2E75B6"/>
      <rgbColor rgb="FF33CCCC"/>
      <rgbColor rgb="FF99CC00"/>
      <rgbColor rgb="FFFCE4D6"/>
      <rgbColor rgb="FFFF9900"/>
      <rgbColor rgb="FFE46C0A"/>
      <rgbColor rgb="FF604A7B"/>
      <rgbColor rgb="FF969696"/>
      <rgbColor rgb="FF1F3864"/>
      <rgbColor rgb="FF339966"/>
      <rgbColor rgb="FF003300"/>
      <rgbColor rgb="FF375623"/>
      <rgbColor rgb="FFC55A11"/>
      <rgbColor rgb="FF7B2D8B"/>
      <rgbColor rgb="FF376092"/>
      <rgbColor rgb="FF1D23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5BF5BB-0FC2-41A7-B21B-5701DB2D691D}" name="Tabela15" displayName="Tabela15" ref="A1:AI61" totalsRowShown="0">
  <autoFilter ref="A1:AI61" xr:uid="{00000000-0009-0000-0100-000001000000}"/>
  <tableColumns count="35">
    <tableColumn id="1" xr3:uid="{00000000-0010-0000-0000-000001000000}" name="Time"/>
    <tableColumn id="2" xr3:uid="{00000000-0010-0000-0000-000002000000}" name="Data"/>
    <tableColumn id="3" xr3:uid="{00000000-0010-0000-0000-000003000000}" name="Competição"/>
    <tableColumn id="4" xr3:uid="{00000000-0010-0000-0000-000004000000}" name="Adversário"/>
    <tableColumn id="5" xr3:uid="{00000000-0010-0000-0000-000005000000}" name="Mando"/>
    <tableColumn id="6" xr3:uid="{00000000-0010-0000-0000-000006000000}" name="Gols Pró"/>
    <tableColumn id="7" xr3:uid="{00000000-0010-0000-0000-000007000000}" name="Gols Contra"/>
    <tableColumn id="8" xr3:uid="{00000000-0010-0000-0000-000008000000}" name="xG Pró"/>
    <tableColumn id="9" xr3:uid="{00000000-0010-0000-0000-000009000000}" name="xG Contra"/>
    <tableColumn id="10" xr3:uid="{00000000-0010-0000-0000-00000A000000}" name="Escanteios Pró"/>
    <tableColumn id="11" xr3:uid="{00000000-0010-0000-0000-00000B000000}" name="Escanteios Contra"/>
    <tableColumn id="12" xr3:uid="{00000000-0010-0000-0000-00000C000000}" name="Cartões Pró"/>
    <tableColumn id="13" xr3:uid="{00000000-0010-0000-0000-00000D000000}" name="Cartões Contra"/>
    <tableColumn id="14" xr3:uid="{00000000-0010-0000-0000-00000E000000}" name="Chutes Pró"/>
    <tableColumn id="15" xr3:uid="{00000000-0010-0000-0000-00000F000000}" name="Chutes Contra"/>
    <tableColumn id="16" xr3:uid="{00000000-0010-0000-0000-000010000000}" name="Chutes Gol Pró"/>
    <tableColumn id="17" xr3:uid="{00000000-0010-0000-0000-000011000000}" name="Chutes Gol Contra"/>
    <tableColumn id="18" xr3:uid="{00000000-0010-0000-0000-000012000000}" name="Posse Pró"/>
    <tableColumn id="19" xr3:uid="{00000000-0010-0000-0000-000013000000}" name="Faltas Time"/>
    <tableColumn id="20" xr3:uid="{00000000-0010-0000-0000-000014000000}" name="Faltas Adv"/>
    <tableColumn id="21" xr3:uid="{00000000-0010-0000-0000-000015000000}" name="Gols 1T Time"/>
    <tableColumn id="22" xr3:uid="{00000000-0010-0000-0000-000016000000}" name="Gols 1T Adv"/>
    <tableColumn id="23" xr3:uid="{00000000-0010-0000-0000-000017000000}" name="BTTS">
      <calculatedColumnFormula>IF(AND(F2&gt;1,G2&gt;1),"Sim","Não")</calculatedColumnFormula>
    </tableColumn>
    <tableColumn id="24" xr3:uid="{00000000-0010-0000-0000-000018000000}" name="Saldo">
      <calculatedColumnFormula>F2-G2</calculatedColumnFormula>
    </tableColumn>
    <tableColumn id="25" xr3:uid="{00000000-0010-0000-0000-000019000000}" name="Resultado">
      <calculatedColumnFormula>IF(F2&gt;G2,"V",IF(F2=G2,"E","D"))</calculatedColumnFormula>
    </tableColumn>
    <tableColumn id="26" xr3:uid="{00000000-0010-0000-0000-00001A000000}" name="Favoritismo (preencher depois)"/>
    <tableColumn id="27" xr3:uid="{00000000-0010-0000-0000-00001B000000}" name="Estilo do Adversário (preencher depois)"/>
    <tableColumn id="28" xr3:uid="{00000000-0010-0000-0000-00001C000000}" name="Bloco Baixo (1-5) (preencher depois)"/>
    <tableColumn id="29" xr3:uid="{00000000-0010-0000-0000-00001D000000}" name="Pressão Alta (1-5) (preencher depois)"/>
    <tableColumn id="30" xr3:uid="{00000000-0010-0000-0000-00001E000000}" name="Transição Rápida (1-5) (preencher depois)"/>
    <tableColumn id="31" xr3:uid="{00000000-0010-0000-0000-00001F000000}" name="Posse/Dominância (1-5) (preencher depois)"/>
    <tableColumn id="32" xr3:uid="{00000000-0010-0000-0000-000020000000}" name="Bola Parada/Físico (1-5) (preencher depois)"/>
    <tableColumn id="33" xr3:uid="{00000000-0010-0000-0000-000021000000}" name="Aderência ao alvo (%)">
      <calculatedColumnFormula>1-(ABS(AB2-INDEX('Jogos do Dia'!$G$2:$G$5,MATCH($A2,'Jogos do Dia'!$B$2:$B$5,0)))+ABS(AC2-INDEX('Jogos do Dia'!$H$2:$H$5,MATCH($A2,'Jogos do Dia'!$B$2:$B$5,0)))+ABS(AD2-INDEX('Jogos do Dia'!$I$2:$I$5,MATCH($A2,'Jogos do Dia'!$B$2:$B$5,0)))+ABS(AE2-INDEX('Jogos do Dia'!$J$2:$J$5,MATCH($A2,'Jogos do Dia'!$B$2:$B$5,0)))+ABS(AF2-INDEX('Jogos do Dia'!$K$2:$K$5,MATCH($A2,'Jogos do Dia'!$B$2:$B$5,0))))/20</calculatedColumnFormula>
    </tableColumn>
    <tableColumn id="34" xr3:uid="{00000000-0010-0000-0000-000022000000}" name="Aderência Favoritismo">
      <calculatedColumnFormula>1-ABS(Z2-INDEX('Jogos do Dia'!$F$2:$F$5,MATCH($A2,'Jogos do Dia'!$B$2:$B$5,0)))</calculatedColumnFormula>
    </tableColumn>
    <tableColumn id="35" xr3:uid="{00000000-0010-0000-0000-000023000000}" name="Peso">
      <calculatedColumnFormula>IF((INDEX('Jogos do Dia'!$A$2:$A$5,MATCH($A2,'Jogos do Dia'!$B$2:$B$5,0))-B2)&lt;=10,100%,IF((INDEX('Jogos do Dia'!$A$2:$A$5,MATCH($A2,'Jogos do Dia'!$B$2:$B$5,0))-B2)&lt;=20,85%,IF((INDEX('Jogos do Dia'!$A$2:$A$5,MATCH($A2,'Jogos do Dia'!$B$2:$B$5,0))-B2)&lt;=30,70%,IF((INDEX('Jogos do Dia'!$A$2:$A$5,MATCH($A2,'Jogos do Dia'!$B$2:$B$5,0))-B2)&lt;=45,50%,IF((INDEX('Jogos do Dia'!$A$2:$A$5,MATCH($A2,'Jogos do Dia'!$B$2:$B$5,0))-B2)&lt;=90,30%,IF((INDEX('Jogos do Dia'!$A$2:$A$5,MATCH($A2,'Jogos do Dia'!$B$2:$B$5,0))-B2)&lt;=180,15%,0%))))))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EDEDB9-2581-49F3-8B10-6AF82DCAA7F8}" name="Tabela26" displayName="Tabela26" ref="A1:AH5" totalsRowShown="0">
  <autoFilter ref="A1:AH5" xr:uid="{00000000-0009-0000-0100-000002000000}"/>
  <tableColumns count="34">
    <tableColumn id="1" xr3:uid="{00000000-0010-0000-0100-000001000000}" name="Data"/>
    <tableColumn id="2" xr3:uid="{00000000-0010-0000-0100-000002000000}" name="Time"/>
    <tableColumn id="3" xr3:uid="{00000000-0010-0000-0100-000003000000}" name="Adversário"/>
    <tableColumn id="4" xr3:uid="{00000000-0010-0000-0100-000004000000}" name="Estilo Time"/>
    <tableColumn id="5" xr3:uid="{00000000-0010-0000-0100-000005000000}" name="Estilo Adversário"/>
    <tableColumn id="6" xr3:uid="{00000000-0010-0000-0100-000006000000}" name="Favoristismo"/>
    <tableColumn id="7" xr3:uid="{00000000-0010-0000-0100-000007000000}" name="Bloco Baixo (1-5)"/>
    <tableColumn id="8" xr3:uid="{00000000-0010-0000-0100-000008000000}" name="Pressão Alta (1-5)"/>
    <tableColumn id="9" xr3:uid="{00000000-0010-0000-0100-000009000000}" name="Transição (1-5)"/>
    <tableColumn id="10" xr3:uid="{00000000-0010-0000-0100-00000A000000}" name="Posse (1-5)"/>
    <tableColumn id="11" xr3:uid="{00000000-0010-0000-0100-00000B000000}" name="Bola Parada (1-5)"/>
    <tableColumn id="12" xr3:uid="{00000000-0010-0000-0100-00000C000000}" name="Ataca Fundo? (S/N)"/>
    <tableColumn id="13" xr3:uid="{00000000-0010-0000-0100-00000D000000}" name="Contexto/Classificação"/>
    <tableColumn id="14" xr3:uid="{00000000-0010-0000-0100-00000E000000}" name="Observações"/>
    <tableColumn id="15" xr3:uid="{00000000-0010-0000-0100-00000F000000}" name="Gols Pró">
      <calculatedColumnFormula array="1">IFERROR(SUMPRODUCT((Times!$A$2:$A$61=$B2)*(Times!$AG$2:$AG$61&gt;=65%)*(Times!$AH$2:$AH$61&gt;=65%)*Times!$F$2:$F$61*Times!$AK$2:$AK$61)/SUMPRODUCT((Times!$A$2:$A$61=$B2)*(Times!$AG$2:$AG$61&gt;=65%)*(Times!$AH$2:$AH$61&gt;=65%)*Times!$AK$2:$AK$61),1.2)</calculatedColumnFormula>
    </tableColumn>
    <tableColumn id="16" xr3:uid="{00000000-0010-0000-0100-000010000000}" name="Gols Contra">
      <calculatedColumnFormula array="1">IFERROR(SUMPRODUCT((Times!$A$2:$A$61=$B2)*(Times!$AG$2:$AG$61&gt;=65%)*(Times!$AH$2:$AH$61&gt;=65%)*Times!$G$2:$G$61*Times!$AK$2:$AK$61)/SUMPRODUCT((Times!$A$2:$A$61=$B2)*(Times!$AG$2:$AG$61&gt;=65%)*(Times!$AH$2:$AH$61&gt;=65%)*Times!$AK$2:$AK$61),1.2)</calculatedColumnFormula>
    </tableColumn>
    <tableColumn id="17" xr3:uid="{00000000-0010-0000-0100-000011000000}" name="Gols Total">
      <calculatedColumnFormula>Tabela26[[#This Row],[Gols Pró]]+Tabela26[[#This Row],[Gols Contra]]</calculatedColumnFormula>
    </tableColumn>
    <tableColumn id="18" xr3:uid="{00000000-0010-0000-0100-000012000000}" name="Cartões Pró">
      <calculatedColumnFormula array="1">IFERROR(_xlfn.LET(_xlpm.tm,$B2,_xlpm.vals,_xlfn._xlws.FILTER(Times!$L$2:$L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calculatedColumnFormula>
    </tableColumn>
    <tableColumn id="19" xr3:uid="{00000000-0010-0000-0100-000013000000}" name="Cartões Contra">
      <calculatedColumnFormula array="1">IFERROR(_xlfn.LET(_xlpm.tm,$B2,_xlpm.vals,_xlfn._xlws.FILTER(Times!$M$2:$M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calculatedColumnFormula>
    </tableColumn>
    <tableColumn id="20" xr3:uid="{00000000-0010-0000-0100-000014000000}" name="Cartões Total">
      <calculatedColumnFormula>Tabela26[[#This Row],[Cartões Pró]]+Tabela26[[#This Row],[Cartões Contra]]</calculatedColumnFormula>
    </tableColumn>
    <tableColumn id="21" xr3:uid="{00000000-0010-0000-0100-000015000000}" name="Escanteios Pró">
      <calculatedColumnFormula array="1">IFERROR(_xlfn.LET(_xlpm.tm,$B2,_xlpm.vals,_xlfn._xlws.FILTER(Times!$J$2:$J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calculatedColumnFormula>
    </tableColumn>
    <tableColumn id="22" xr3:uid="{00000000-0010-0000-0100-000016000000}" name="Escanteios Contra">
      <calculatedColumnFormula array="1">IFERROR(_xlfn.LET(_xlpm.tm,$B2,_xlpm.vals,_xlfn._xlws.FILTER(Times!$K$2:$K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calculatedColumnFormula>
    </tableColumn>
    <tableColumn id="23" xr3:uid="{00000000-0010-0000-0100-000017000000}" name="Escanteios Total">
      <calculatedColumnFormula>Tabela26[[#This Row],[Escanteios Pró]]+Tabela26[[#This Row],[Escanteios Contra]]</calculatedColumnFormula>
    </tableColumn>
    <tableColumn id="24" xr3:uid="{00000000-0010-0000-0100-000018000000}" name="Chutes Pró">
      <calculatedColumnFormula array="1">IFERROR(_xlfn.LET(_xlpm.tm,$B2,_xlpm.vals,_xlfn._xlws.FILTER(Times!$N$2:$N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calculatedColumnFormula>
    </tableColumn>
    <tableColumn id="25" xr3:uid="{00000000-0010-0000-0100-000019000000}" name="Chutes Contra">
      <calculatedColumnFormula array="1">IFERROR(_xlfn.LET(_xlpm.tm,$B2,_xlpm.vals,_xlfn._xlws.FILTER(Times!$O$2:$O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calculatedColumnFormula>
    </tableColumn>
    <tableColumn id="26" xr3:uid="{00000000-0010-0000-0100-00001A000000}" name="Chutes Total">
      <calculatedColumnFormula>Tabela26[[#This Row],[Chutes Pró]]+Tabela26[[#This Row],[Chutes Contra]]</calculatedColumnFormula>
    </tableColumn>
    <tableColumn id="27" xr3:uid="{00000000-0010-0000-0100-00001B000000}" name="Chutes Gol Pró">
      <calculatedColumnFormula array="1">IFERROR(_xlfn.LET(_xlpm.tm,$B2,_xlpm.vals,_xlfn._xlws.FILTER(Times!$P$2:$P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calculatedColumnFormula>
    </tableColumn>
    <tableColumn id="28" xr3:uid="{00000000-0010-0000-0100-00001C000000}" name="Chutes Gol Contra">
      <calculatedColumnFormula array="1">IFERROR(_xlfn.LET(_xlpm.tm,$B2,_xlpm.vals,_xlfn._xlws.FILTER(Times!$Q$2:$Q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calculatedColumnFormula>
    </tableColumn>
    <tableColumn id="29" xr3:uid="{00000000-0010-0000-0100-00001D000000}" name="Chutes a gol Total">
      <calculatedColumnFormula>Tabela26[[#This Row],[Chutes Gol Pró]]+Tabela26[[#This Row],[Chutes Gol Contra]]</calculatedColumnFormula>
    </tableColumn>
    <tableColumn id="30" xr3:uid="{00000000-0010-0000-0100-00001E000000}" name="Gols 1T Pró" dataDxfId="21">
      <calculatedColumnFormula array="1">IFERROR(_xlfn.LET(_xlpm.tm,$B2,_xlpm.vals,_xlfn._xlws.FILTER(Times!$U$2:$U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calculatedColumnFormula>
    </tableColumn>
    <tableColumn id="31" xr3:uid="{00000000-0010-0000-0100-00001F000000}" name="Gols 1T Contra" dataDxfId="20">
      <calculatedColumnFormula array="1">IFERROR(_xlfn.LET(_xlpm.tm,$B2,_xlpm.vals,_xlfn._xlws.FILTER(Times!$V$2:$V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calculatedColumnFormula>
    </tableColumn>
    <tableColumn id="32" xr3:uid="{00000000-0010-0000-0100-000020000000}" name="Gols 1T Total">
      <calculatedColumnFormula>Tabela26[[#This Row],[Gols 1T Pró]]+Tabela26[[#This Row],[Gols 1T Contra]]</calculatedColumnFormula>
    </tableColumn>
    <tableColumn id="33" xr3:uid="{00000000-0010-0000-0100-000021000000}" name="BTTS">
      <calculatedColumnFormula>IF(AND(Tabela26[[#This Row],[Gols Pró]]&gt;0.5,Tabela26[[#This Row],[Gols Contra]]&gt;0.5),"Sim","Não")</calculatedColumnFormula>
    </tableColumn>
    <tableColumn id="34" xr3:uid="{00000000-0010-0000-0100-000022000000}" name="Confiab Filtro">
      <calculatedColumnFormula>COUNTIFS(Tabela15[Time],Tabela26[[#This Row],[Time]],Tabela15[Aderência ao alvo (%)],"&gt;="&amp;0.65,Tabela15[Favoritismo (preencher depois)],"&gt;="&amp;Tabela26[[#This Row],[Favoristismo]]-0.2,Tabela15[Favoritismo (preencher depois)],"&lt;="&amp;Tabela26[[#This Row],[Favoristismo]]+0.2)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CE3700-F133-49A6-9FB7-C464BA02F36E}" name="Tabela37" displayName="Tabela37" ref="A1:Q41" totalsRowShown="0">
  <autoFilter ref="A1:Q41" xr:uid="{00000000-0009-0000-0100-000003000000}"/>
  <tableColumns count="17">
    <tableColumn id="1" xr3:uid="{00000000-0010-0000-0200-000001000000}" name="Jogo"/>
    <tableColumn id="2" xr3:uid="{00000000-0010-0000-0200-000002000000}" name="Mercado"/>
    <tableColumn id="3" xr3:uid="{00000000-0010-0000-0200-000003000000}" name="Tipo"/>
    <tableColumn id="16" xr3:uid="{3BBCF68A-2F00-457A-A715-AEA13AA752D0}" name="Critério 1" dataDxfId="19"/>
    <tableColumn id="17" xr3:uid="{E94B8513-BC86-404B-9831-C37FB4B72B06}" name="Critério 2" dataDxfId="18"/>
    <tableColumn id="4" xr3:uid="{00000000-0010-0000-0200-000004000000}" name="P.Plan"/>
    <tableColumn id="5" xr3:uid="{00000000-0010-0000-0200-000005000000}" name="P.Font"/>
    <tableColumn id="6" xr3:uid="{00000000-0010-0000-0200-000006000000}" name="P.Mkt"/>
    <tableColumn id="7" xr3:uid="{00000000-0010-0000-0200-000007000000}" name="P.Comb"/>
    <tableColumn id="8" xr3:uid="{00000000-0010-0000-0200-000008000000}" name="Odd Gatilho"/>
    <tableColumn id="9" xr3:uid="{00000000-0010-0000-0200-000009000000}" name="Odd Mercado"/>
    <tableColumn id="10" xr3:uid="{00000000-0010-0000-0200-00000A000000}" name="Edge"/>
    <tableColumn id="11" xr3:uid="{00000000-0010-0000-0200-00000B000000}" name="Veredito"/>
    <tableColumn id="12" xr3:uid="{00000000-0010-0000-0200-00000C000000}" name="Odd Betano"/>
    <tableColumn id="13" xr3:uid="{00000000-0010-0000-0200-00000D000000}" name="Veredito Betano"/>
    <tableColumn id="14" xr3:uid="{00000000-0010-0000-0200-00000E000000}" name="Stake"/>
    <tableColumn id="15" xr3:uid="{00000000-0010-0000-0200-00000F000000}" name="Critéri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  <wetp:taskpane dockstate="right" visibility="0" width="525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51E0480-6E9C-4501-9117-E480A4D940E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0c42c04-dc39-4337-bc6c-1cb2096cca41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7D39734-DB8E-4B46-A006-969801301F3D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7D5F-4760-4D58-B050-D9418C3DE1F0}">
  <dimension ref="A1:AK61"/>
  <sheetViews>
    <sheetView tabSelected="1" topLeftCell="R1" zoomScale="55" zoomScaleNormal="55" workbookViewId="0">
      <pane ySplit="1" topLeftCell="A2" activePane="bottomLeft" state="frozen"/>
      <selection activeCell="G1" sqref="G1"/>
      <selection pane="bottomLeft" activeCell="X10" sqref="X10"/>
    </sheetView>
  </sheetViews>
  <sheetFormatPr defaultColWidth="8.69140625" defaultRowHeight="14.6" x14ac:dyDescent="0.4"/>
  <cols>
    <col min="1" max="1" width="16" style="1" customWidth="1"/>
    <col min="2" max="3" width="11" style="1" customWidth="1"/>
    <col min="4" max="4" width="16" style="1" customWidth="1"/>
    <col min="5" max="5" width="8" style="1" customWidth="1"/>
    <col min="6" max="6" width="8.15234375" style="1" customWidth="1"/>
    <col min="7" max="9" width="10.3046875" style="1" customWidth="1"/>
    <col min="10" max="10" width="12.23046875" style="1" customWidth="1"/>
    <col min="11" max="11" width="14.3828125" style="1" customWidth="1"/>
    <col min="12" max="12" width="10.3046875" style="1" customWidth="1"/>
    <col min="13" max="13" width="12.4609375" style="1" customWidth="1"/>
    <col min="14" max="14" width="9.84375" style="1" customWidth="1"/>
    <col min="15" max="15" width="12" style="1" customWidth="1"/>
    <col min="16" max="16" width="12.4609375" style="1" customWidth="1"/>
    <col min="17" max="17" width="14.61328125" style="1" customWidth="1"/>
    <col min="18" max="18" width="9.07421875" style="1" customWidth="1"/>
    <col min="19" max="26" width="14.61328125" style="1" customWidth="1"/>
    <col min="27" max="27" width="30.15234375" style="1" customWidth="1"/>
    <col min="28" max="29" width="14.61328125" style="1" customWidth="1"/>
    <col min="30" max="30" width="16.765625" style="1" customWidth="1"/>
    <col min="31" max="31" width="17.69140625" style="1" customWidth="1"/>
    <col min="32" max="32" width="18.15234375" style="1" customWidth="1"/>
    <col min="33" max="34" width="14.61328125" style="1" customWidth="1"/>
    <col min="35" max="35" width="12.3046875" style="1" customWidth="1"/>
    <col min="36" max="16384" width="8.69140625" style="1"/>
  </cols>
  <sheetData>
    <row r="1" spans="1:37" ht="24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K1" t="s">
        <v>35</v>
      </c>
    </row>
    <row r="2" spans="1:37" ht="14.25" customHeight="1" x14ac:dyDescent="0.4">
      <c r="W2" s="1" t="str">
        <f t="shared" ref="W2:W33" si="0">IF(AND(F2&gt;1,G2&gt;1),"Sim","Não")</f>
        <v>Não</v>
      </c>
      <c r="X2" s="1">
        <f t="shared" ref="X2:X33" si="1">F2-G2</f>
        <v>0</v>
      </c>
      <c r="Y2" s="3" t="str">
        <f t="shared" ref="Y2:Y33" si="2">IF(F2&gt;G2,"V",IF(F2=G2,"E","D"))</f>
        <v>E</v>
      </c>
      <c r="Z2" s="4"/>
      <c r="AG2" s="4" t="e">
        <f>1-(ABS(AB2-INDEX('Jogos do Dia'!$G$2:$G$5,MATCH($A2,'Jogos do Dia'!$B$2:$B$5,0)))+ABS(AC2-INDEX('Jogos do Dia'!$H$2:$H$5,MATCH($A2,'Jogos do Dia'!$B$2:$B$5,0)))+ABS(AD2-INDEX('Jogos do Dia'!$I$2:$I$5,MATCH($A2,'Jogos do Dia'!$B$2:$B$5,0)))+ABS(AE2-INDEX('Jogos do Dia'!$J$2:$J$5,MATCH($A2,'Jogos do Dia'!$B$2:$B$5,0)))+ABS(AF2-INDEX('Jogos do Dia'!$K$2:$K$5,MATCH($A2,'Jogos do Dia'!$B$2:$B$5,0))))/20</f>
        <v>#N/A</v>
      </c>
      <c r="AH2" s="4" t="e">
        <f>1-ABS(Z2-INDEX('Jogos do Dia'!$F$2:$F$5,MATCH($A2,'Jogos do Dia'!$B$2:$B$5,0)))</f>
        <v>#N/A</v>
      </c>
      <c r="AI2" s="4" t="e">
        <f>IF((INDEX('Jogos do Dia'!$A$2:$A$5,MATCH($A2,'Jogos do Dia'!$B$2:$B$5,0))-B2)&lt;=10,100%,IF((INDEX('Jogos do Dia'!$A$2:$A$5,MATCH($A2,'Jogos do Dia'!$B$2:$B$5,0))-B2)&lt;=20,85%,IF((INDEX('Jogos do Dia'!$A$2:$A$5,MATCH($A2,'Jogos do Dia'!$B$2:$B$5,0))-B2)&lt;=30,70%,IF((INDEX('Jogos do Dia'!$A$2:$A$5,MATCH($A2,'Jogos do Dia'!$B$2:$B$5,0))-B2)&lt;=45,50%,IF((INDEX('Jogos do Dia'!$A$2:$A$5,MATCH($A2,'Jogos do Dia'!$B$2:$B$5,0))-B2)&lt;=90,30%,IF((INDEX('Jogos do Dia'!$A$2:$A$5,MATCH($A2,'Jogos do Dia'!$B$2:$B$5,0))-B2)&lt;=180,15%,0%))))))</f>
        <v>#N/A</v>
      </c>
      <c r="AK2" s="11" t="e">
        <f>AG2*AH2*AI2</f>
        <v>#N/A</v>
      </c>
    </row>
    <row r="3" spans="1:37" ht="14.25" customHeight="1" x14ac:dyDescent="0.4">
      <c r="W3" s="1" t="str">
        <f t="shared" si="0"/>
        <v>Não</v>
      </c>
      <c r="X3" s="1">
        <f t="shared" si="1"/>
        <v>0</v>
      </c>
      <c r="Y3" s="5" t="str">
        <f t="shared" si="2"/>
        <v>E</v>
      </c>
      <c r="Z3" s="4"/>
      <c r="AG3" s="4" t="e">
        <f>1-(ABS(AB3-INDEX('Jogos do Dia'!$G$2:$G$5,MATCH($A3,'Jogos do Dia'!$B$2:$B$5,0)))+ABS(AC3-INDEX('Jogos do Dia'!$H$2:$H$5,MATCH($A3,'Jogos do Dia'!$B$2:$B$5,0)))+ABS(AD3-INDEX('Jogos do Dia'!$I$2:$I$5,MATCH($A3,'Jogos do Dia'!$B$2:$B$5,0)))+ABS(AE3-INDEX('Jogos do Dia'!$J$2:$J$5,MATCH($A3,'Jogos do Dia'!$B$2:$B$5,0)))+ABS(AF3-INDEX('Jogos do Dia'!$K$2:$K$5,MATCH($A3,'Jogos do Dia'!$B$2:$B$5,0))))/20</f>
        <v>#N/A</v>
      </c>
      <c r="AH3" s="4" t="e">
        <f>1-ABS(Z3-INDEX('Jogos do Dia'!$F$2:$F$5,MATCH($A3,'Jogos do Dia'!$B$2:$B$5,0)))</f>
        <v>#N/A</v>
      </c>
      <c r="AI3" s="4" t="e">
        <f>IF((INDEX('Jogos do Dia'!$A$2:$A$5,MATCH($A3,'Jogos do Dia'!$B$2:$B$5,0))-B3)&lt;=10,100%,IF((INDEX('Jogos do Dia'!$A$2:$A$5,MATCH($A3,'Jogos do Dia'!$B$2:$B$5,0))-B3)&lt;=20,85%,IF((INDEX('Jogos do Dia'!$A$2:$A$5,MATCH($A3,'Jogos do Dia'!$B$2:$B$5,0))-B3)&lt;=30,70%,IF((INDEX('Jogos do Dia'!$A$2:$A$5,MATCH($A3,'Jogos do Dia'!$B$2:$B$5,0))-B3)&lt;=45,50%,IF((INDEX('Jogos do Dia'!$A$2:$A$5,MATCH($A3,'Jogos do Dia'!$B$2:$B$5,0))-B3)&lt;=90,30%,IF((INDEX('Jogos do Dia'!$A$2:$A$5,MATCH($A3,'Jogos do Dia'!$B$2:$B$5,0))-B3)&lt;=180,15%,0%))))))</f>
        <v>#N/A</v>
      </c>
      <c r="AK3" s="11" t="e">
        <f t="shared" ref="AK3:AK61" si="3">AG3*AH3*AI3</f>
        <v>#N/A</v>
      </c>
    </row>
    <row r="4" spans="1:37" ht="14.25" customHeight="1" x14ac:dyDescent="0.4">
      <c r="W4" s="1" t="str">
        <f t="shared" si="0"/>
        <v>Não</v>
      </c>
      <c r="X4" s="1">
        <f t="shared" si="1"/>
        <v>0</v>
      </c>
      <c r="Y4" s="3" t="str">
        <f t="shared" si="2"/>
        <v>E</v>
      </c>
      <c r="Z4" s="4"/>
      <c r="AG4" s="4" t="e">
        <f>1-(ABS(AB4-INDEX('Jogos do Dia'!$G$2:$G$5,MATCH($A4,'Jogos do Dia'!$B$2:$B$5,0)))+ABS(AC4-INDEX('Jogos do Dia'!$H$2:$H$5,MATCH($A4,'Jogos do Dia'!$B$2:$B$5,0)))+ABS(AD4-INDEX('Jogos do Dia'!$I$2:$I$5,MATCH($A4,'Jogos do Dia'!$B$2:$B$5,0)))+ABS(AE4-INDEX('Jogos do Dia'!$J$2:$J$5,MATCH($A4,'Jogos do Dia'!$B$2:$B$5,0)))+ABS(AF4-INDEX('Jogos do Dia'!$K$2:$K$5,MATCH($A4,'Jogos do Dia'!$B$2:$B$5,0))))/20</f>
        <v>#N/A</v>
      </c>
      <c r="AH4" s="4" t="e">
        <f>1-ABS(Z4-INDEX('Jogos do Dia'!$F$2:$F$5,MATCH($A4,'Jogos do Dia'!$B$2:$B$5,0)))</f>
        <v>#N/A</v>
      </c>
      <c r="AI4" s="4" t="e">
        <f>IF((INDEX('Jogos do Dia'!$A$2:$A$5,MATCH($A4,'Jogos do Dia'!$B$2:$B$5,0))-B4)&lt;=10,100%,IF((INDEX('Jogos do Dia'!$A$2:$A$5,MATCH($A4,'Jogos do Dia'!$B$2:$B$5,0))-B4)&lt;=20,85%,IF((INDEX('Jogos do Dia'!$A$2:$A$5,MATCH($A4,'Jogos do Dia'!$B$2:$B$5,0))-B4)&lt;=30,70%,IF((INDEX('Jogos do Dia'!$A$2:$A$5,MATCH($A4,'Jogos do Dia'!$B$2:$B$5,0))-B4)&lt;=45,50%,IF((INDEX('Jogos do Dia'!$A$2:$A$5,MATCH($A4,'Jogos do Dia'!$B$2:$B$5,0))-B4)&lt;=90,30%,IF((INDEX('Jogos do Dia'!$A$2:$A$5,MATCH($A4,'Jogos do Dia'!$B$2:$B$5,0))-B4)&lt;=180,15%,0%))))))</f>
        <v>#N/A</v>
      </c>
      <c r="AK4" s="11" t="e">
        <f t="shared" si="3"/>
        <v>#N/A</v>
      </c>
    </row>
    <row r="5" spans="1:37" ht="14.25" customHeight="1" x14ac:dyDescent="0.4">
      <c r="W5" s="1" t="str">
        <f t="shared" si="0"/>
        <v>Não</v>
      </c>
      <c r="X5" s="1">
        <f t="shared" si="1"/>
        <v>0</v>
      </c>
      <c r="Y5" s="5" t="str">
        <f t="shared" si="2"/>
        <v>E</v>
      </c>
      <c r="Z5" s="4"/>
      <c r="AG5" s="4" t="e">
        <f>1-(ABS(AB5-INDEX('Jogos do Dia'!$G$2:$G$5,MATCH($A5,'Jogos do Dia'!$B$2:$B$5,0)))+ABS(AC5-INDEX('Jogos do Dia'!$H$2:$H$5,MATCH($A5,'Jogos do Dia'!$B$2:$B$5,0)))+ABS(AD5-INDEX('Jogos do Dia'!$I$2:$I$5,MATCH($A5,'Jogos do Dia'!$B$2:$B$5,0)))+ABS(AE5-INDEX('Jogos do Dia'!$J$2:$J$5,MATCH($A5,'Jogos do Dia'!$B$2:$B$5,0)))+ABS(AF5-INDEX('Jogos do Dia'!$K$2:$K$5,MATCH($A5,'Jogos do Dia'!$B$2:$B$5,0))))/20</f>
        <v>#N/A</v>
      </c>
      <c r="AH5" s="4" t="e">
        <f>1-ABS(Z5-INDEX('Jogos do Dia'!$F$2:$F$5,MATCH($A5,'Jogos do Dia'!$B$2:$B$5,0)))</f>
        <v>#N/A</v>
      </c>
      <c r="AI5" s="4" t="e">
        <f>IF((INDEX('Jogos do Dia'!$A$2:$A$5,MATCH($A5,'Jogos do Dia'!$B$2:$B$5,0))-B5)&lt;=10,100%,IF((INDEX('Jogos do Dia'!$A$2:$A$5,MATCH($A5,'Jogos do Dia'!$B$2:$B$5,0))-B5)&lt;=20,85%,IF((INDEX('Jogos do Dia'!$A$2:$A$5,MATCH($A5,'Jogos do Dia'!$B$2:$B$5,0))-B5)&lt;=30,70%,IF((INDEX('Jogos do Dia'!$A$2:$A$5,MATCH($A5,'Jogos do Dia'!$B$2:$B$5,0))-B5)&lt;=45,50%,IF((INDEX('Jogos do Dia'!$A$2:$A$5,MATCH($A5,'Jogos do Dia'!$B$2:$B$5,0))-B5)&lt;=90,30%,IF((INDEX('Jogos do Dia'!$A$2:$A$5,MATCH($A5,'Jogos do Dia'!$B$2:$B$5,0))-B5)&lt;=180,15%,0%))))))</f>
        <v>#N/A</v>
      </c>
      <c r="AK5" s="11" t="e">
        <f t="shared" si="3"/>
        <v>#N/A</v>
      </c>
    </row>
    <row r="6" spans="1:37" ht="14.25" customHeight="1" x14ac:dyDescent="0.4">
      <c r="W6" s="1" t="str">
        <f t="shared" si="0"/>
        <v>Não</v>
      </c>
      <c r="X6" s="1">
        <f t="shared" si="1"/>
        <v>0</v>
      </c>
      <c r="Y6" s="3" t="str">
        <f t="shared" si="2"/>
        <v>E</v>
      </c>
      <c r="Z6" s="4"/>
      <c r="AG6" s="4" t="e">
        <f>1-(ABS(AB6-INDEX('Jogos do Dia'!$G$2:$G$5,MATCH($A6,'Jogos do Dia'!$B$2:$B$5,0)))+ABS(AC6-INDEX('Jogos do Dia'!$H$2:$H$5,MATCH($A6,'Jogos do Dia'!$B$2:$B$5,0)))+ABS(AD6-INDEX('Jogos do Dia'!$I$2:$I$5,MATCH($A6,'Jogos do Dia'!$B$2:$B$5,0)))+ABS(AE6-INDEX('Jogos do Dia'!$J$2:$J$5,MATCH($A6,'Jogos do Dia'!$B$2:$B$5,0)))+ABS(AF6-INDEX('Jogos do Dia'!$K$2:$K$5,MATCH($A6,'Jogos do Dia'!$B$2:$B$5,0))))/20</f>
        <v>#N/A</v>
      </c>
      <c r="AH6" s="4" t="e">
        <f>1-ABS(Z6-INDEX('Jogos do Dia'!$F$2:$F$5,MATCH($A6,'Jogos do Dia'!$B$2:$B$5,0)))</f>
        <v>#N/A</v>
      </c>
      <c r="AI6" s="4" t="e">
        <f>IF((INDEX('Jogos do Dia'!$A$2:$A$5,MATCH($A6,'Jogos do Dia'!$B$2:$B$5,0))-B6)&lt;=10,100%,IF((INDEX('Jogos do Dia'!$A$2:$A$5,MATCH($A6,'Jogos do Dia'!$B$2:$B$5,0))-B6)&lt;=20,85%,IF((INDEX('Jogos do Dia'!$A$2:$A$5,MATCH($A6,'Jogos do Dia'!$B$2:$B$5,0))-B6)&lt;=30,70%,IF((INDEX('Jogos do Dia'!$A$2:$A$5,MATCH($A6,'Jogos do Dia'!$B$2:$B$5,0))-B6)&lt;=45,50%,IF((INDEX('Jogos do Dia'!$A$2:$A$5,MATCH($A6,'Jogos do Dia'!$B$2:$B$5,0))-B6)&lt;=90,30%,IF((INDEX('Jogos do Dia'!$A$2:$A$5,MATCH($A6,'Jogos do Dia'!$B$2:$B$5,0))-B6)&lt;=180,15%,0%))))))</f>
        <v>#N/A</v>
      </c>
      <c r="AK6" s="11" t="e">
        <f t="shared" si="3"/>
        <v>#N/A</v>
      </c>
    </row>
    <row r="7" spans="1:37" ht="14.25" customHeight="1" x14ac:dyDescent="0.4">
      <c r="W7" s="1" t="str">
        <f t="shared" si="0"/>
        <v>Não</v>
      </c>
      <c r="X7" s="1">
        <f t="shared" si="1"/>
        <v>0</v>
      </c>
      <c r="Y7" s="3" t="str">
        <f t="shared" si="2"/>
        <v>E</v>
      </c>
      <c r="Z7" s="4"/>
      <c r="AG7" s="4" t="e">
        <f>1-(ABS(AB7-INDEX('Jogos do Dia'!$G$2:$G$5,MATCH($A7,'Jogos do Dia'!$B$2:$B$5,0)))+ABS(AC7-INDEX('Jogos do Dia'!$H$2:$H$5,MATCH($A7,'Jogos do Dia'!$B$2:$B$5,0)))+ABS(AD7-INDEX('Jogos do Dia'!$I$2:$I$5,MATCH($A7,'Jogos do Dia'!$B$2:$B$5,0)))+ABS(AE7-INDEX('Jogos do Dia'!$J$2:$J$5,MATCH($A7,'Jogos do Dia'!$B$2:$B$5,0)))+ABS(AF7-INDEX('Jogos do Dia'!$K$2:$K$5,MATCH($A7,'Jogos do Dia'!$B$2:$B$5,0))))/20</f>
        <v>#N/A</v>
      </c>
      <c r="AH7" s="4" t="e">
        <f>1-ABS(Z7-INDEX('Jogos do Dia'!$F$2:$F$5,MATCH($A7,'Jogos do Dia'!$B$2:$B$5,0)))</f>
        <v>#N/A</v>
      </c>
      <c r="AI7" s="4" t="e">
        <f>IF((INDEX('Jogos do Dia'!$A$2:$A$5,MATCH($A7,'Jogos do Dia'!$B$2:$B$5,0))-B7)&lt;=10,100%,IF((INDEX('Jogos do Dia'!$A$2:$A$5,MATCH($A7,'Jogos do Dia'!$B$2:$B$5,0))-B7)&lt;=20,85%,IF((INDEX('Jogos do Dia'!$A$2:$A$5,MATCH($A7,'Jogos do Dia'!$B$2:$B$5,0))-B7)&lt;=30,70%,IF((INDEX('Jogos do Dia'!$A$2:$A$5,MATCH($A7,'Jogos do Dia'!$B$2:$B$5,0))-B7)&lt;=45,50%,IF((INDEX('Jogos do Dia'!$A$2:$A$5,MATCH($A7,'Jogos do Dia'!$B$2:$B$5,0))-B7)&lt;=90,30%,IF((INDEX('Jogos do Dia'!$A$2:$A$5,MATCH($A7,'Jogos do Dia'!$B$2:$B$5,0))-B7)&lt;=180,15%,0%))))))</f>
        <v>#N/A</v>
      </c>
      <c r="AK7" s="11" t="e">
        <f t="shared" si="3"/>
        <v>#N/A</v>
      </c>
    </row>
    <row r="8" spans="1:37" ht="14.25" customHeight="1" x14ac:dyDescent="0.4">
      <c r="W8" s="1" t="str">
        <f t="shared" si="0"/>
        <v>Não</v>
      </c>
      <c r="X8" s="1">
        <f t="shared" si="1"/>
        <v>0</v>
      </c>
      <c r="Y8" s="3" t="str">
        <f t="shared" si="2"/>
        <v>E</v>
      </c>
      <c r="Z8" s="4"/>
      <c r="AG8" s="4" t="e">
        <f>1-(ABS(AB8-INDEX('Jogos do Dia'!$G$2:$G$5,MATCH($A8,'Jogos do Dia'!$B$2:$B$5,0)))+ABS(AC8-INDEX('Jogos do Dia'!$H$2:$H$5,MATCH($A8,'Jogos do Dia'!$B$2:$B$5,0)))+ABS(AD8-INDEX('Jogos do Dia'!$I$2:$I$5,MATCH($A8,'Jogos do Dia'!$B$2:$B$5,0)))+ABS(AE8-INDEX('Jogos do Dia'!$J$2:$J$5,MATCH($A8,'Jogos do Dia'!$B$2:$B$5,0)))+ABS(AF8-INDEX('Jogos do Dia'!$K$2:$K$5,MATCH($A8,'Jogos do Dia'!$B$2:$B$5,0))))/20</f>
        <v>#N/A</v>
      </c>
      <c r="AH8" s="4" t="e">
        <f>1-ABS(Z8-INDEX('Jogos do Dia'!$F$2:$F$5,MATCH($A8,'Jogos do Dia'!$B$2:$B$5,0)))</f>
        <v>#N/A</v>
      </c>
      <c r="AI8" s="4" t="e">
        <f>IF((INDEX('Jogos do Dia'!$A$2:$A$5,MATCH($A8,'Jogos do Dia'!$B$2:$B$5,0))-B8)&lt;=10,100%,IF((INDEX('Jogos do Dia'!$A$2:$A$5,MATCH($A8,'Jogos do Dia'!$B$2:$B$5,0))-B8)&lt;=20,85%,IF((INDEX('Jogos do Dia'!$A$2:$A$5,MATCH($A8,'Jogos do Dia'!$B$2:$B$5,0))-B8)&lt;=30,70%,IF((INDEX('Jogos do Dia'!$A$2:$A$5,MATCH($A8,'Jogos do Dia'!$B$2:$B$5,0))-B8)&lt;=45,50%,IF((INDEX('Jogos do Dia'!$A$2:$A$5,MATCH($A8,'Jogos do Dia'!$B$2:$B$5,0))-B8)&lt;=90,30%,IF((INDEX('Jogos do Dia'!$A$2:$A$5,MATCH($A8,'Jogos do Dia'!$B$2:$B$5,0))-B8)&lt;=180,15%,0%))))))</f>
        <v>#N/A</v>
      </c>
      <c r="AK8" s="11" t="e">
        <f t="shared" si="3"/>
        <v>#N/A</v>
      </c>
    </row>
    <row r="9" spans="1:37" ht="14.25" customHeight="1" x14ac:dyDescent="0.4">
      <c r="W9" s="1" t="str">
        <f t="shared" si="0"/>
        <v>Não</v>
      </c>
      <c r="X9" s="1">
        <f t="shared" si="1"/>
        <v>0</v>
      </c>
      <c r="Y9" s="5" t="str">
        <f t="shared" si="2"/>
        <v>E</v>
      </c>
      <c r="Z9" s="4"/>
      <c r="AG9" s="4" t="e">
        <f>1-(ABS(AB9-INDEX('Jogos do Dia'!$G$2:$G$5,MATCH($A9,'Jogos do Dia'!$B$2:$B$5,0)))+ABS(AC9-INDEX('Jogos do Dia'!$H$2:$H$5,MATCH($A9,'Jogos do Dia'!$B$2:$B$5,0)))+ABS(AD9-INDEX('Jogos do Dia'!$I$2:$I$5,MATCH($A9,'Jogos do Dia'!$B$2:$B$5,0)))+ABS(AE9-INDEX('Jogos do Dia'!$J$2:$J$5,MATCH($A9,'Jogos do Dia'!$B$2:$B$5,0)))+ABS(AF9-INDEX('Jogos do Dia'!$K$2:$K$5,MATCH($A9,'Jogos do Dia'!$B$2:$B$5,0))))/20</f>
        <v>#N/A</v>
      </c>
      <c r="AH9" s="4" t="e">
        <f>1-ABS(Z9-INDEX('Jogos do Dia'!$F$2:$F$5,MATCH($A9,'Jogos do Dia'!$B$2:$B$5,0)))</f>
        <v>#N/A</v>
      </c>
      <c r="AI9" s="4" t="e">
        <f>IF((INDEX('Jogos do Dia'!$A$2:$A$5,MATCH($A9,'Jogos do Dia'!$B$2:$B$5,0))-B9)&lt;=10,100%,IF((INDEX('Jogos do Dia'!$A$2:$A$5,MATCH($A9,'Jogos do Dia'!$B$2:$B$5,0))-B9)&lt;=20,85%,IF((INDEX('Jogos do Dia'!$A$2:$A$5,MATCH($A9,'Jogos do Dia'!$B$2:$B$5,0))-B9)&lt;=30,70%,IF((INDEX('Jogos do Dia'!$A$2:$A$5,MATCH($A9,'Jogos do Dia'!$B$2:$B$5,0))-B9)&lt;=45,50%,IF((INDEX('Jogos do Dia'!$A$2:$A$5,MATCH($A9,'Jogos do Dia'!$B$2:$B$5,0))-B9)&lt;=90,30%,IF((INDEX('Jogos do Dia'!$A$2:$A$5,MATCH($A9,'Jogos do Dia'!$B$2:$B$5,0))-B9)&lt;=180,15%,0%))))))</f>
        <v>#N/A</v>
      </c>
      <c r="AK9" s="11" t="e">
        <f t="shared" si="3"/>
        <v>#N/A</v>
      </c>
    </row>
    <row r="10" spans="1:37" ht="14.25" customHeight="1" x14ac:dyDescent="0.4">
      <c r="W10" s="1" t="str">
        <f t="shared" si="0"/>
        <v>Não</v>
      </c>
      <c r="X10" s="1">
        <f t="shared" si="1"/>
        <v>0</v>
      </c>
      <c r="Y10" s="3" t="str">
        <f t="shared" si="2"/>
        <v>E</v>
      </c>
      <c r="Z10" s="4"/>
      <c r="AG10" s="4" t="e">
        <f>1-(ABS(AB10-INDEX('Jogos do Dia'!$G$2:$G$5,MATCH($A10,'Jogos do Dia'!$B$2:$B$5,0)))+ABS(AC10-INDEX('Jogos do Dia'!$H$2:$H$5,MATCH($A10,'Jogos do Dia'!$B$2:$B$5,0)))+ABS(AD10-INDEX('Jogos do Dia'!$I$2:$I$5,MATCH($A10,'Jogos do Dia'!$B$2:$B$5,0)))+ABS(AE10-INDEX('Jogos do Dia'!$J$2:$J$5,MATCH($A10,'Jogos do Dia'!$B$2:$B$5,0)))+ABS(AF10-INDEX('Jogos do Dia'!$K$2:$K$5,MATCH($A10,'Jogos do Dia'!$B$2:$B$5,0))))/20</f>
        <v>#N/A</v>
      </c>
      <c r="AH10" s="4" t="e">
        <f>1-ABS(Z10-INDEX('Jogos do Dia'!$F$2:$F$5,MATCH($A10,'Jogos do Dia'!$B$2:$B$5,0)))</f>
        <v>#N/A</v>
      </c>
      <c r="AI10" s="4" t="e">
        <f>IF((INDEX('Jogos do Dia'!$A$2:$A$5,MATCH($A10,'Jogos do Dia'!$B$2:$B$5,0))-B10)&lt;=10,100%,IF((INDEX('Jogos do Dia'!$A$2:$A$5,MATCH($A10,'Jogos do Dia'!$B$2:$B$5,0))-B10)&lt;=20,85%,IF((INDEX('Jogos do Dia'!$A$2:$A$5,MATCH($A10,'Jogos do Dia'!$B$2:$B$5,0))-B10)&lt;=30,70%,IF((INDEX('Jogos do Dia'!$A$2:$A$5,MATCH($A10,'Jogos do Dia'!$B$2:$B$5,0))-B10)&lt;=45,50%,IF((INDEX('Jogos do Dia'!$A$2:$A$5,MATCH($A10,'Jogos do Dia'!$B$2:$B$5,0))-B10)&lt;=90,30%,IF((INDEX('Jogos do Dia'!$A$2:$A$5,MATCH($A10,'Jogos do Dia'!$B$2:$B$5,0))-B10)&lt;=180,15%,0%))))))</f>
        <v>#N/A</v>
      </c>
      <c r="AK10" s="11" t="e">
        <f t="shared" si="3"/>
        <v>#N/A</v>
      </c>
    </row>
    <row r="11" spans="1:37" ht="14.25" customHeight="1" x14ac:dyDescent="0.4">
      <c r="W11" s="1" t="str">
        <f t="shared" si="0"/>
        <v>Não</v>
      </c>
      <c r="X11" s="1">
        <f t="shared" si="1"/>
        <v>0</v>
      </c>
      <c r="Y11" s="6" t="str">
        <f t="shared" si="2"/>
        <v>E</v>
      </c>
      <c r="Z11" s="4"/>
      <c r="AG11" s="4" t="e">
        <f>1-(ABS(AB11-INDEX('Jogos do Dia'!$G$2:$G$5,MATCH($A11,'Jogos do Dia'!$B$2:$B$5,0)))+ABS(AC11-INDEX('Jogos do Dia'!$H$2:$H$5,MATCH($A11,'Jogos do Dia'!$B$2:$B$5,0)))+ABS(AD11-INDEX('Jogos do Dia'!$I$2:$I$5,MATCH($A11,'Jogos do Dia'!$B$2:$B$5,0)))+ABS(AE11-INDEX('Jogos do Dia'!$J$2:$J$5,MATCH($A11,'Jogos do Dia'!$B$2:$B$5,0)))+ABS(AF11-INDEX('Jogos do Dia'!$K$2:$K$5,MATCH($A11,'Jogos do Dia'!$B$2:$B$5,0))))/20</f>
        <v>#N/A</v>
      </c>
      <c r="AH11" s="4" t="e">
        <f>1-ABS(Z11-INDEX('Jogos do Dia'!$F$2:$F$5,MATCH($A11,'Jogos do Dia'!$B$2:$B$5,0)))</f>
        <v>#N/A</v>
      </c>
      <c r="AI11" s="4" t="e">
        <f>IF((INDEX('Jogos do Dia'!$A$2:$A$5,MATCH($A11,'Jogos do Dia'!$B$2:$B$5,0))-B11)&lt;=10,100%,IF((INDEX('Jogos do Dia'!$A$2:$A$5,MATCH($A11,'Jogos do Dia'!$B$2:$B$5,0))-B11)&lt;=20,85%,IF((INDEX('Jogos do Dia'!$A$2:$A$5,MATCH($A11,'Jogos do Dia'!$B$2:$B$5,0))-B11)&lt;=30,70%,IF((INDEX('Jogos do Dia'!$A$2:$A$5,MATCH($A11,'Jogos do Dia'!$B$2:$B$5,0))-B11)&lt;=45,50%,IF((INDEX('Jogos do Dia'!$A$2:$A$5,MATCH($A11,'Jogos do Dia'!$B$2:$B$5,0))-B11)&lt;=90,30%,IF((INDEX('Jogos do Dia'!$A$2:$A$5,MATCH($A11,'Jogos do Dia'!$B$2:$B$5,0))-B11)&lt;=180,15%,0%))))))</f>
        <v>#N/A</v>
      </c>
      <c r="AK11" s="11" t="e">
        <f t="shared" si="3"/>
        <v>#N/A</v>
      </c>
    </row>
    <row r="12" spans="1:37" ht="14.25" customHeight="1" x14ac:dyDescent="0.4">
      <c r="W12" s="1" t="str">
        <f t="shared" si="0"/>
        <v>Não</v>
      </c>
      <c r="X12" s="1">
        <f t="shared" si="1"/>
        <v>0</v>
      </c>
      <c r="Y12" s="5" t="str">
        <f t="shared" si="2"/>
        <v>E</v>
      </c>
      <c r="Z12" s="4"/>
      <c r="AG12" s="4" t="e">
        <f>1-(ABS(AB12-INDEX('Jogos do Dia'!$G$2:$G$5,MATCH($A12,'Jogos do Dia'!$B$2:$B$5,0)))+ABS(AC12-INDEX('Jogos do Dia'!$H$2:$H$5,MATCH($A12,'Jogos do Dia'!$B$2:$B$5,0)))+ABS(AD12-INDEX('Jogos do Dia'!$I$2:$I$5,MATCH($A12,'Jogos do Dia'!$B$2:$B$5,0)))+ABS(AE12-INDEX('Jogos do Dia'!$J$2:$J$5,MATCH($A12,'Jogos do Dia'!$B$2:$B$5,0)))+ABS(AF12-INDEX('Jogos do Dia'!$K$2:$K$5,MATCH($A12,'Jogos do Dia'!$B$2:$B$5,0))))/20</f>
        <v>#N/A</v>
      </c>
      <c r="AH12" s="4" t="e">
        <f>1-ABS(Z12-INDEX('Jogos do Dia'!$F$2:$F$5,MATCH($A12,'Jogos do Dia'!$B$2:$B$5,0)))</f>
        <v>#N/A</v>
      </c>
      <c r="AI12" s="4" t="e">
        <f>IF((INDEX('Jogos do Dia'!$A$2:$A$5,MATCH($A12,'Jogos do Dia'!$B$2:$B$5,0))-B12)&lt;=10,100%,IF((INDEX('Jogos do Dia'!$A$2:$A$5,MATCH($A12,'Jogos do Dia'!$B$2:$B$5,0))-B12)&lt;=20,85%,IF((INDEX('Jogos do Dia'!$A$2:$A$5,MATCH($A12,'Jogos do Dia'!$B$2:$B$5,0))-B12)&lt;=30,70%,IF((INDEX('Jogos do Dia'!$A$2:$A$5,MATCH($A12,'Jogos do Dia'!$B$2:$B$5,0))-B12)&lt;=45,50%,IF((INDEX('Jogos do Dia'!$A$2:$A$5,MATCH($A12,'Jogos do Dia'!$B$2:$B$5,0))-B12)&lt;=90,30%,IF((INDEX('Jogos do Dia'!$A$2:$A$5,MATCH($A12,'Jogos do Dia'!$B$2:$B$5,0))-B12)&lt;=180,15%,0%))))))</f>
        <v>#N/A</v>
      </c>
      <c r="AK12" s="11" t="e">
        <f t="shared" si="3"/>
        <v>#N/A</v>
      </c>
    </row>
    <row r="13" spans="1:37" ht="14.25" customHeight="1" x14ac:dyDescent="0.4">
      <c r="W13" s="1" t="str">
        <f t="shared" si="0"/>
        <v>Não</v>
      </c>
      <c r="X13" s="1">
        <f t="shared" si="1"/>
        <v>0</v>
      </c>
      <c r="Y13" s="3" t="str">
        <f t="shared" si="2"/>
        <v>E</v>
      </c>
      <c r="Z13" s="4"/>
      <c r="AG13" s="4" t="e">
        <f>1-(ABS(AB13-INDEX('Jogos do Dia'!$G$2:$G$5,MATCH($A13,'Jogos do Dia'!$B$2:$B$5,0)))+ABS(AC13-INDEX('Jogos do Dia'!$H$2:$H$5,MATCH($A13,'Jogos do Dia'!$B$2:$B$5,0)))+ABS(AD13-INDEX('Jogos do Dia'!$I$2:$I$5,MATCH($A13,'Jogos do Dia'!$B$2:$B$5,0)))+ABS(AE13-INDEX('Jogos do Dia'!$J$2:$J$5,MATCH($A13,'Jogos do Dia'!$B$2:$B$5,0)))+ABS(AF13-INDEX('Jogos do Dia'!$K$2:$K$5,MATCH($A13,'Jogos do Dia'!$B$2:$B$5,0))))/20</f>
        <v>#N/A</v>
      </c>
      <c r="AH13" s="4" t="e">
        <f>1-ABS(Z13-INDEX('Jogos do Dia'!$F$2:$F$5,MATCH($A13,'Jogos do Dia'!$B$2:$B$5,0)))</f>
        <v>#N/A</v>
      </c>
      <c r="AI13" s="4" t="e">
        <f>IF((INDEX('Jogos do Dia'!$A$2:$A$5,MATCH($A13,'Jogos do Dia'!$B$2:$B$5,0))-B13)&lt;=10,100%,IF((INDEX('Jogos do Dia'!$A$2:$A$5,MATCH($A13,'Jogos do Dia'!$B$2:$B$5,0))-B13)&lt;=20,85%,IF((INDEX('Jogos do Dia'!$A$2:$A$5,MATCH($A13,'Jogos do Dia'!$B$2:$B$5,0))-B13)&lt;=30,70%,IF((INDEX('Jogos do Dia'!$A$2:$A$5,MATCH($A13,'Jogos do Dia'!$B$2:$B$5,0))-B13)&lt;=45,50%,IF((INDEX('Jogos do Dia'!$A$2:$A$5,MATCH($A13,'Jogos do Dia'!$B$2:$B$5,0))-B13)&lt;=90,30%,IF((INDEX('Jogos do Dia'!$A$2:$A$5,MATCH($A13,'Jogos do Dia'!$B$2:$B$5,0))-B13)&lt;=180,15%,0%))))))</f>
        <v>#N/A</v>
      </c>
      <c r="AK13" s="11" t="e">
        <f t="shared" si="3"/>
        <v>#N/A</v>
      </c>
    </row>
    <row r="14" spans="1:37" ht="14.25" customHeight="1" x14ac:dyDescent="0.4">
      <c r="W14" s="1" t="str">
        <f t="shared" si="0"/>
        <v>Não</v>
      </c>
      <c r="X14" s="1">
        <f t="shared" si="1"/>
        <v>0</v>
      </c>
      <c r="Y14" s="3" t="str">
        <f t="shared" si="2"/>
        <v>E</v>
      </c>
      <c r="Z14" s="4"/>
      <c r="AG14" s="4" t="e">
        <f>1-(ABS(AB14-INDEX('Jogos do Dia'!$G$2:$G$5,MATCH($A14,'Jogos do Dia'!$B$2:$B$5,0)))+ABS(AC14-INDEX('Jogos do Dia'!$H$2:$H$5,MATCH($A14,'Jogos do Dia'!$B$2:$B$5,0)))+ABS(AD14-INDEX('Jogos do Dia'!$I$2:$I$5,MATCH($A14,'Jogos do Dia'!$B$2:$B$5,0)))+ABS(AE14-INDEX('Jogos do Dia'!$J$2:$J$5,MATCH($A14,'Jogos do Dia'!$B$2:$B$5,0)))+ABS(AF14-INDEX('Jogos do Dia'!$K$2:$K$5,MATCH($A14,'Jogos do Dia'!$B$2:$B$5,0))))/20</f>
        <v>#N/A</v>
      </c>
      <c r="AH14" s="4" t="e">
        <f>1-ABS(Z14-INDEX('Jogos do Dia'!$F$2:$F$5,MATCH($A14,'Jogos do Dia'!$B$2:$B$5,0)))</f>
        <v>#N/A</v>
      </c>
      <c r="AI14" s="4" t="e">
        <f>IF((INDEX('Jogos do Dia'!$A$2:$A$5,MATCH($A14,'Jogos do Dia'!$B$2:$B$5,0))-B14)&lt;=10,100%,IF((INDEX('Jogos do Dia'!$A$2:$A$5,MATCH($A14,'Jogos do Dia'!$B$2:$B$5,0))-B14)&lt;=20,85%,IF((INDEX('Jogos do Dia'!$A$2:$A$5,MATCH($A14,'Jogos do Dia'!$B$2:$B$5,0))-B14)&lt;=30,70%,IF((INDEX('Jogos do Dia'!$A$2:$A$5,MATCH($A14,'Jogos do Dia'!$B$2:$B$5,0))-B14)&lt;=45,50%,IF((INDEX('Jogos do Dia'!$A$2:$A$5,MATCH($A14,'Jogos do Dia'!$B$2:$B$5,0))-B14)&lt;=90,30%,IF((INDEX('Jogos do Dia'!$A$2:$A$5,MATCH($A14,'Jogos do Dia'!$B$2:$B$5,0))-B14)&lt;=180,15%,0%))))))</f>
        <v>#N/A</v>
      </c>
      <c r="AK14" s="11" t="e">
        <f t="shared" si="3"/>
        <v>#N/A</v>
      </c>
    </row>
    <row r="15" spans="1:37" ht="14.25" customHeight="1" x14ac:dyDescent="0.4">
      <c r="W15" s="1" t="str">
        <f t="shared" si="0"/>
        <v>Não</v>
      </c>
      <c r="X15" s="1">
        <f t="shared" si="1"/>
        <v>0</v>
      </c>
      <c r="Y15" s="3" t="str">
        <f t="shared" si="2"/>
        <v>E</v>
      </c>
      <c r="Z15" s="4"/>
      <c r="AG15" s="4" t="e">
        <f>1-(ABS(AB15-INDEX('Jogos do Dia'!$G$2:$G$5,MATCH($A15,'Jogos do Dia'!$B$2:$B$5,0)))+ABS(AC15-INDEX('Jogos do Dia'!$H$2:$H$5,MATCH($A15,'Jogos do Dia'!$B$2:$B$5,0)))+ABS(AD15-INDEX('Jogos do Dia'!$I$2:$I$5,MATCH($A15,'Jogos do Dia'!$B$2:$B$5,0)))+ABS(AE15-INDEX('Jogos do Dia'!$J$2:$J$5,MATCH($A15,'Jogos do Dia'!$B$2:$B$5,0)))+ABS(AF15-INDEX('Jogos do Dia'!$K$2:$K$5,MATCH($A15,'Jogos do Dia'!$B$2:$B$5,0))))/20</f>
        <v>#N/A</v>
      </c>
      <c r="AH15" s="4" t="e">
        <f>1-ABS(Z15-INDEX('Jogos do Dia'!$F$2:$F$5,MATCH($A15,'Jogos do Dia'!$B$2:$B$5,0)))</f>
        <v>#N/A</v>
      </c>
      <c r="AI15" s="4" t="e">
        <f>IF((INDEX('Jogos do Dia'!$A$2:$A$5,MATCH($A15,'Jogos do Dia'!$B$2:$B$5,0))-B15)&lt;=10,100%,IF((INDEX('Jogos do Dia'!$A$2:$A$5,MATCH($A15,'Jogos do Dia'!$B$2:$B$5,0))-B15)&lt;=20,85%,IF((INDEX('Jogos do Dia'!$A$2:$A$5,MATCH($A15,'Jogos do Dia'!$B$2:$B$5,0))-B15)&lt;=30,70%,IF((INDEX('Jogos do Dia'!$A$2:$A$5,MATCH($A15,'Jogos do Dia'!$B$2:$B$5,0))-B15)&lt;=45,50%,IF((INDEX('Jogos do Dia'!$A$2:$A$5,MATCH($A15,'Jogos do Dia'!$B$2:$B$5,0))-B15)&lt;=90,30%,IF((INDEX('Jogos do Dia'!$A$2:$A$5,MATCH($A15,'Jogos do Dia'!$B$2:$B$5,0))-B15)&lt;=180,15%,0%))))))</f>
        <v>#N/A</v>
      </c>
      <c r="AK15" s="11" t="e">
        <f t="shared" si="3"/>
        <v>#N/A</v>
      </c>
    </row>
    <row r="16" spans="1:37" ht="14.25" customHeight="1" x14ac:dyDescent="0.4">
      <c r="W16" s="1" t="str">
        <f t="shared" si="0"/>
        <v>Não</v>
      </c>
      <c r="X16" s="1">
        <f t="shared" si="1"/>
        <v>0</v>
      </c>
      <c r="Y16" s="5" t="str">
        <f t="shared" si="2"/>
        <v>E</v>
      </c>
      <c r="Z16" s="4"/>
      <c r="AG16" s="4" t="e">
        <f>1-(ABS(AB16-INDEX('Jogos do Dia'!$G$2:$G$5,MATCH($A16,'Jogos do Dia'!$B$2:$B$5,0)))+ABS(AC16-INDEX('Jogos do Dia'!$H$2:$H$5,MATCH($A16,'Jogos do Dia'!$B$2:$B$5,0)))+ABS(AD16-INDEX('Jogos do Dia'!$I$2:$I$5,MATCH($A16,'Jogos do Dia'!$B$2:$B$5,0)))+ABS(AE16-INDEX('Jogos do Dia'!$J$2:$J$5,MATCH($A16,'Jogos do Dia'!$B$2:$B$5,0)))+ABS(AF16-INDEX('Jogos do Dia'!$K$2:$K$5,MATCH($A16,'Jogos do Dia'!$B$2:$B$5,0))))/20</f>
        <v>#N/A</v>
      </c>
      <c r="AH16" s="4" t="e">
        <f>1-ABS(Z16-INDEX('Jogos do Dia'!$F$2:$F$5,MATCH($A16,'Jogos do Dia'!$B$2:$B$5,0)))</f>
        <v>#N/A</v>
      </c>
      <c r="AI16" s="4" t="e">
        <f>IF((INDEX('Jogos do Dia'!$A$2:$A$5,MATCH($A16,'Jogos do Dia'!$B$2:$B$5,0))-B16)&lt;=10,100%,IF((INDEX('Jogos do Dia'!$A$2:$A$5,MATCH($A16,'Jogos do Dia'!$B$2:$B$5,0))-B16)&lt;=20,85%,IF((INDEX('Jogos do Dia'!$A$2:$A$5,MATCH($A16,'Jogos do Dia'!$B$2:$B$5,0))-B16)&lt;=30,70%,IF((INDEX('Jogos do Dia'!$A$2:$A$5,MATCH($A16,'Jogos do Dia'!$B$2:$B$5,0))-B16)&lt;=45,50%,IF((INDEX('Jogos do Dia'!$A$2:$A$5,MATCH($A16,'Jogos do Dia'!$B$2:$B$5,0))-B16)&lt;=90,30%,IF((INDEX('Jogos do Dia'!$A$2:$A$5,MATCH($A16,'Jogos do Dia'!$B$2:$B$5,0))-B16)&lt;=180,15%,0%))))))</f>
        <v>#N/A</v>
      </c>
      <c r="AK16" s="11" t="e">
        <f t="shared" si="3"/>
        <v>#N/A</v>
      </c>
    </row>
    <row r="17" spans="23:37" ht="14.25" customHeight="1" x14ac:dyDescent="0.4">
      <c r="W17" s="1" t="str">
        <f t="shared" si="0"/>
        <v>Não</v>
      </c>
      <c r="X17" s="1">
        <f t="shared" si="1"/>
        <v>0</v>
      </c>
      <c r="Y17" s="3" t="str">
        <f t="shared" si="2"/>
        <v>E</v>
      </c>
      <c r="Z17" s="4"/>
      <c r="AG17" s="4" t="e">
        <f>1-(ABS(AB17-INDEX('Jogos do Dia'!$G$2:$G$5,MATCH($A17,'Jogos do Dia'!$B$2:$B$5,0)))+ABS(AC17-INDEX('Jogos do Dia'!$H$2:$H$5,MATCH($A17,'Jogos do Dia'!$B$2:$B$5,0)))+ABS(AD17-INDEX('Jogos do Dia'!$I$2:$I$5,MATCH($A17,'Jogos do Dia'!$B$2:$B$5,0)))+ABS(AE17-INDEX('Jogos do Dia'!$J$2:$J$5,MATCH($A17,'Jogos do Dia'!$B$2:$B$5,0)))+ABS(AF17-INDEX('Jogos do Dia'!$K$2:$K$5,MATCH($A17,'Jogos do Dia'!$B$2:$B$5,0))))/20</f>
        <v>#N/A</v>
      </c>
      <c r="AH17" s="4" t="e">
        <f>1-ABS(Z17-INDEX('Jogos do Dia'!$F$2:$F$5,MATCH($A17,'Jogos do Dia'!$B$2:$B$5,0)))</f>
        <v>#N/A</v>
      </c>
      <c r="AI17" s="4" t="e">
        <f>IF((INDEX('Jogos do Dia'!$A$2:$A$5,MATCH($A17,'Jogos do Dia'!$B$2:$B$5,0))-B17)&lt;=10,100%,IF((INDEX('Jogos do Dia'!$A$2:$A$5,MATCH($A17,'Jogos do Dia'!$B$2:$B$5,0))-B17)&lt;=20,85%,IF((INDEX('Jogos do Dia'!$A$2:$A$5,MATCH($A17,'Jogos do Dia'!$B$2:$B$5,0))-B17)&lt;=30,70%,IF((INDEX('Jogos do Dia'!$A$2:$A$5,MATCH($A17,'Jogos do Dia'!$B$2:$B$5,0))-B17)&lt;=45,50%,IF((INDEX('Jogos do Dia'!$A$2:$A$5,MATCH($A17,'Jogos do Dia'!$B$2:$B$5,0))-B17)&lt;=90,30%,IF((INDEX('Jogos do Dia'!$A$2:$A$5,MATCH($A17,'Jogos do Dia'!$B$2:$B$5,0))-B17)&lt;=180,15%,0%))))))</f>
        <v>#N/A</v>
      </c>
      <c r="AK17" s="11" t="e">
        <f t="shared" si="3"/>
        <v>#N/A</v>
      </c>
    </row>
    <row r="18" spans="23:37" ht="14.25" customHeight="1" x14ac:dyDescent="0.4">
      <c r="W18" s="1" t="str">
        <f t="shared" si="0"/>
        <v>Não</v>
      </c>
      <c r="X18" s="1">
        <f t="shared" si="1"/>
        <v>0</v>
      </c>
      <c r="Y18" s="3" t="str">
        <f t="shared" si="2"/>
        <v>E</v>
      </c>
      <c r="Z18" s="4"/>
      <c r="AG18" s="4" t="e">
        <f>1-(ABS(AB18-INDEX('Jogos do Dia'!$G$2:$G$5,MATCH($A18,'Jogos do Dia'!$B$2:$B$5,0)))+ABS(AC18-INDEX('Jogos do Dia'!$H$2:$H$5,MATCH($A18,'Jogos do Dia'!$B$2:$B$5,0)))+ABS(AD18-INDEX('Jogos do Dia'!$I$2:$I$5,MATCH($A18,'Jogos do Dia'!$B$2:$B$5,0)))+ABS(AE18-INDEX('Jogos do Dia'!$J$2:$J$5,MATCH($A18,'Jogos do Dia'!$B$2:$B$5,0)))+ABS(AF18-INDEX('Jogos do Dia'!$K$2:$K$5,MATCH($A18,'Jogos do Dia'!$B$2:$B$5,0))))/20</f>
        <v>#N/A</v>
      </c>
      <c r="AH18" s="4" t="e">
        <f>1-ABS(Z18-INDEX('Jogos do Dia'!$F$2:$F$5,MATCH($A18,'Jogos do Dia'!$B$2:$B$5,0)))</f>
        <v>#N/A</v>
      </c>
      <c r="AI18" s="4" t="e">
        <f>IF((INDEX('Jogos do Dia'!$A$2:$A$5,MATCH($A18,'Jogos do Dia'!$B$2:$B$5,0))-B18)&lt;=10,100%,IF((INDEX('Jogos do Dia'!$A$2:$A$5,MATCH($A18,'Jogos do Dia'!$B$2:$B$5,0))-B18)&lt;=20,85%,IF((INDEX('Jogos do Dia'!$A$2:$A$5,MATCH($A18,'Jogos do Dia'!$B$2:$B$5,0))-B18)&lt;=30,70%,IF((INDEX('Jogos do Dia'!$A$2:$A$5,MATCH($A18,'Jogos do Dia'!$B$2:$B$5,0))-B18)&lt;=45,50%,IF((INDEX('Jogos do Dia'!$A$2:$A$5,MATCH($A18,'Jogos do Dia'!$B$2:$B$5,0))-B18)&lt;=90,30%,IF((INDEX('Jogos do Dia'!$A$2:$A$5,MATCH($A18,'Jogos do Dia'!$B$2:$B$5,0))-B18)&lt;=180,15%,0%))))))</f>
        <v>#N/A</v>
      </c>
      <c r="AK18" s="11" t="e">
        <f t="shared" si="3"/>
        <v>#N/A</v>
      </c>
    </row>
    <row r="19" spans="23:37" ht="14.25" customHeight="1" x14ac:dyDescent="0.4">
      <c r="W19" s="1" t="str">
        <f t="shared" si="0"/>
        <v>Não</v>
      </c>
      <c r="X19" s="1">
        <f t="shared" si="1"/>
        <v>0</v>
      </c>
      <c r="Y19" s="3" t="str">
        <f t="shared" si="2"/>
        <v>E</v>
      </c>
      <c r="Z19" s="4"/>
      <c r="AG19" s="4" t="e">
        <f>1-(ABS(AB19-INDEX('Jogos do Dia'!$G$2:$G$5,MATCH($A19,'Jogos do Dia'!$B$2:$B$5,0)))+ABS(AC19-INDEX('Jogos do Dia'!$H$2:$H$5,MATCH($A19,'Jogos do Dia'!$B$2:$B$5,0)))+ABS(AD19-INDEX('Jogos do Dia'!$I$2:$I$5,MATCH($A19,'Jogos do Dia'!$B$2:$B$5,0)))+ABS(AE19-INDEX('Jogos do Dia'!$J$2:$J$5,MATCH($A19,'Jogos do Dia'!$B$2:$B$5,0)))+ABS(AF19-INDEX('Jogos do Dia'!$K$2:$K$5,MATCH($A19,'Jogos do Dia'!$B$2:$B$5,0))))/20</f>
        <v>#N/A</v>
      </c>
      <c r="AH19" s="4" t="e">
        <f>1-ABS(Z19-INDEX('Jogos do Dia'!$F$2:$F$5,MATCH($A19,'Jogos do Dia'!$B$2:$B$5,0)))</f>
        <v>#N/A</v>
      </c>
      <c r="AI19" s="4" t="e">
        <f>IF((INDEX('Jogos do Dia'!$A$2:$A$5,MATCH($A19,'Jogos do Dia'!$B$2:$B$5,0))-B19)&lt;=10,100%,IF((INDEX('Jogos do Dia'!$A$2:$A$5,MATCH($A19,'Jogos do Dia'!$B$2:$B$5,0))-B19)&lt;=20,85%,IF((INDEX('Jogos do Dia'!$A$2:$A$5,MATCH($A19,'Jogos do Dia'!$B$2:$B$5,0))-B19)&lt;=30,70%,IF((INDEX('Jogos do Dia'!$A$2:$A$5,MATCH($A19,'Jogos do Dia'!$B$2:$B$5,0))-B19)&lt;=45,50%,IF((INDEX('Jogos do Dia'!$A$2:$A$5,MATCH($A19,'Jogos do Dia'!$B$2:$B$5,0))-B19)&lt;=90,30%,IF((INDEX('Jogos do Dia'!$A$2:$A$5,MATCH($A19,'Jogos do Dia'!$B$2:$B$5,0))-B19)&lt;=180,15%,0%))))))</f>
        <v>#N/A</v>
      </c>
      <c r="AK19" s="11" t="e">
        <f t="shared" si="3"/>
        <v>#N/A</v>
      </c>
    </row>
    <row r="20" spans="23:37" ht="14.25" customHeight="1" x14ac:dyDescent="0.4">
      <c r="W20" s="1" t="str">
        <f t="shared" si="0"/>
        <v>Não</v>
      </c>
      <c r="X20" s="1">
        <f t="shared" si="1"/>
        <v>0</v>
      </c>
      <c r="Y20" s="5" t="str">
        <f t="shared" si="2"/>
        <v>E</v>
      </c>
      <c r="Z20" s="4"/>
      <c r="AG20" s="4" t="e">
        <f>1-(ABS(AB20-INDEX('Jogos do Dia'!$G$2:$G$5,MATCH($A20,'Jogos do Dia'!$B$2:$B$5,0)))+ABS(AC20-INDEX('Jogos do Dia'!$H$2:$H$5,MATCH($A20,'Jogos do Dia'!$B$2:$B$5,0)))+ABS(AD20-INDEX('Jogos do Dia'!$I$2:$I$5,MATCH($A20,'Jogos do Dia'!$B$2:$B$5,0)))+ABS(AE20-INDEX('Jogos do Dia'!$J$2:$J$5,MATCH($A20,'Jogos do Dia'!$B$2:$B$5,0)))+ABS(AF20-INDEX('Jogos do Dia'!$K$2:$K$5,MATCH($A20,'Jogos do Dia'!$B$2:$B$5,0))))/20</f>
        <v>#N/A</v>
      </c>
      <c r="AH20" s="4" t="e">
        <f>1-ABS(Z20-INDEX('Jogos do Dia'!$F$2:$F$5,MATCH($A20,'Jogos do Dia'!$B$2:$B$5,0)))</f>
        <v>#N/A</v>
      </c>
      <c r="AI20" s="4" t="e">
        <f>IF((INDEX('Jogos do Dia'!$A$2:$A$5,MATCH($A20,'Jogos do Dia'!$B$2:$B$5,0))-B20)&lt;=10,100%,IF((INDEX('Jogos do Dia'!$A$2:$A$5,MATCH($A20,'Jogos do Dia'!$B$2:$B$5,0))-B20)&lt;=20,85%,IF((INDEX('Jogos do Dia'!$A$2:$A$5,MATCH($A20,'Jogos do Dia'!$B$2:$B$5,0))-B20)&lt;=30,70%,IF((INDEX('Jogos do Dia'!$A$2:$A$5,MATCH($A20,'Jogos do Dia'!$B$2:$B$5,0))-B20)&lt;=45,50%,IF((INDEX('Jogos do Dia'!$A$2:$A$5,MATCH($A20,'Jogos do Dia'!$B$2:$B$5,0))-B20)&lt;=90,30%,IF((INDEX('Jogos do Dia'!$A$2:$A$5,MATCH($A20,'Jogos do Dia'!$B$2:$B$5,0))-B20)&lt;=180,15%,0%))))))</f>
        <v>#N/A</v>
      </c>
      <c r="AK20" s="11" t="e">
        <f t="shared" si="3"/>
        <v>#N/A</v>
      </c>
    </row>
    <row r="21" spans="23:37" ht="14.25" customHeight="1" x14ac:dyDescent="0.4">
      <c r="W21" s="1" t="str">
        <f t="shared" si="0"/>
        <v>Não</v>
      </c>
      <c r="X21" s="1">
        <f t="shared" si="1"/>
        <v>0</v>
      </c>
      <c r="Y21" s="3" t="str">
        <f t="shared" si="2"/>
        <v>E</v>
      </c>
      <c r="Z21" s="4"/>
      <c r="AG21" s="4" t="e">
        <f>1-(ABS(AB21-INDEX('Jogos do Dia'!$G$2:$G$5,MATCH($A21,'Jogos do Dia'!$B$2:$B$5,0)))+ABS(AC21-INDEX('Jogos do Dia'!$H$2:$H$5,MATCH($A21,'Jogos do Dia'!$B$2:$B$5,0)))+ABS(AD21-INDEX('Jogos do Dia'!$I$2:$I$5,MATCH($A21,'Jogos do Dia'!$B$2:$B$5,0)))+ABS(AE21-INDEX('Jogos do Dia'!$J$2:$J$5,MATCH($A21,'Jogos do Dia'!$B$2:$B$5,0)))+ABS(AF21-INDEX('Jogos do Dia'!$K$2:$K$5,MATCH($A21,'Jogos do Dia'!$B$2:$B$5,0))))/20</f>
        <v>#N/A</v>
      </c>
      <c r="AH21" s="4" t="e">
        <f>1-ABS(Z21-INDEX('Jogos do Dia'!$F$2:$F$5,MATCH($A21,'Jogos do Dia'!$B$2:$B$5,0)))</f>
        <v>#N/A</v>
      </c>
      <c r="AI21" s="4" t="e">
        <f>IF((INDEX('Jogos do Dia'!$A$2:$A$5,MATCH($A21,'Jogos do Dia'!$B$2:$B$5,0))-B21)&lt;=10,100%,IF((INDEX('Jogos do Dia'!$A$2:$A$5,MATCH($A21,'Jogos do Dia'!$B$2:$B$5,0))-B21)&lt;=20,85%,IF((INDEX('Jogos do Dia'!$A$2:$A$5,MATCH($A21,'Jogos do Dia'!$B$2:$B$5,0))-B21)&lt;=30,70%,IF((INDEX('Jogos do Dia'!$A$2:$A$5,MATCH($A21,'Jogos do Dia'!$B$2:$B$5,0))-B21)&lt;=45,50%,IF((INDEX('Jogos do Dia'!$A$2:$A$5,MATCH($A21,'Jogos do Dia'!$B$2:$B$5,0))-B21)&lt;=90,30%,IF((INDEX('Jogos do Dia'!$A$2:$A$5,MATCH($A21,'Jogos do Dia'!$B$2:$B$5,0))-B21)&lt;=180,15%,0%))))))</f>
        <v>#N/A</v>
      </c>
      <c r="AK21" s="11" t="e">
        <f t="shared" si="3"/>
        <v>#N/A</v>
      </c>
    </row>
    <row r="22" spans="23:37" ht="14.25" customHeight="1" x14ac:dyDescent="0.4">
      <c r="W22" s="1" t="str">
        <f t="shared" si="0"/>
        <v>Não</v>
      </c>
      <c r="X22" s="1">
        <f t="shared" si="1"/>
        <v>0</v>
      </c>
      <c r="Y22" s="5" t="str">
        <f t="shared" si="2"/>
        <v>E</v>
      </c>
      <c r="Z22" s="4"/>
      <c r="AG22" s="4" t="e">
        <f>1-(ABS(AB22-INDEX('Jogos do Dia'!$G$2:$G$5,MATCH($A22,'Jogos do Dia'!$B$2:$B$5,0)))+ABS(AC22-INDEX('Jogos do Dia'!$H$2:$H$5,MATCH($A22,'Jogos do Dia'!$B$2:$B$5,0)))+ABS(AD22-INDEX('Jogos do Dia'!$I$2:$I$5,MATCH($A22,'Jogos do Dia'!$B$2:$B$5,0)))+ABS(AE22-INDEX('Jogos do Dia'!$J$2:$J$5,MATCH($A22,'Jogos do Dia'!$B$2:$B$5,0)))+ABS(AF22-INDEX('Jogos do Dia'!$K$2:$K$5,MATCH($A22,'Jogos do Dia'!$B$2:$B$5,0))))/20</f>
        <v>#N/A</v>
      </c>
      <c r="AH22" s="4" t="e">
        <f>1-ABS(Z22-INDEX('Jogos do Dia'!$F$2:$F$5,MATCH($A22,'Jogos do Dia'!$B$2:$B$5,0)))</f>
        <v>#N/A</v>
      </c>
      <c r="AI22" s="4" t="e">
        <f>IF((INDEX('Jogos do Dia'!$A$2:$A$5,MATCH($A22,'Jogos do Dia'!$B$2:$B$5,0))-B22)&lt;=10,100%,IF((INDEX('Jogos do Dia'!$A$2:$A$5,MATCH($A22,'Jogos do Dia'!$B$2:$B$5,0))-B22)&lt;=20,85%,IF((INDEX('Jogos do Dia'!$A$2:$A$5,MATCH($A22,'Jogos do Dia'!$B$2:$B$5,0))-B22)&lt;=30,70%,IF((INDEX('Jogos do Dia'!$A$2:$A$5,MATCH($A22,'Jogos do Dia'!$B$2:$B$5,0))-B22)&lt;=45,50%,IF((INDEX('Jogos do Dia'!$A$2:$A$5,MATCH($A22,'Jogos do Dia'!$B$2:$B$5,0))-B22)&lt;=90,30%,IF((INDEX('Jogos do Dia'!$A$2:$A$5,MATCH($A22,'Jogos do Dia'!$B$2:$B$5,0))-B22)&lt;=180,15%,0%))))))</f>
        <v>#N/A</v>
      </c>
      <c r="AK22" s="11" t="e">
        <f t="shared" si="3"/>
        <v>#N/A</v>
      </c>
    </row>
    <row r="23" spans="23:37" ht="14.25" customHeight="1" x14ac:dyDescent="0.4">
      <c r="W23" s="1" t="str">
        <f t="shared" si="0"/>
        <v>Não</v>
      </c>
      <c r="X23" s="1">
        <f t="shared" si="1"/>
        <v>0</v>
      </c>
      <c r="Y23" s="5" t="str">
        <f t="shared" si="2"/>
        <v>E</v>
      </c>
      <c r="Z23" s="4"/>
      <c r="AG23" s="4" t="e">
        <f>1-(ABS(AB23-INDEX('Jogos do Dia'!$G$2:$G$5,MATCH($A23,'Jogos do Dia'!$B$2:$B$5,0)))+ABS(AC23-INDEX('Jogos do Dia'!$H$2:$H$5,MATCH($A23,'Jogos do Dia'!$B$2:$B$5,0)))+ABS(AD23-INDEX('Jogos do Dia'!$I$2:$I$5,MATCH($A23,'Jogos do Dia'!$B$2:$B$5,0)))+ABS(AE23-INDEX('Jogos do Dia'!$J$2:$J$5,MATCH($A23,'Jogos do Dia'!$B$2:$B$5,0)))+ABS(AF23-INDEX('Jogos do Dia'!$K$2:$K$5,MATCH($A23,'Jogos do Dia'!$B$2:$B$5,0))))/20</f>
        <v>#N/A</v>
      </c>
      <c r="AH23" s="4" t="e">
        <f>1-ABS(Z23-INDEX('Jogos do Dia'!$F$2:$F$5,MATCH($A23,'Jogos do Dia'!$B$2:$B$5,0)))</f>
        <v>#N/A</v>
      </c>
      <c r="AI23" s="4" t="e">
        <f>IF((INDEX('Jogos do Dia'!$A$2:$A$5,MATCH($A23,'Jogos do Dia'!$B$2:$B$5,0))-B23)&lt;=10,100%,IF((INDEX('Jogos do Dia'!$A$2:$A$5,MATCH($A23,'Jogos do Dia'!$B$2:$B$5,0))-B23)&lt;=20,85%,IF((INDEX('Jogos do Dia'!$A$2:$A$5,MATCH($A23,'Jogos do Dia'!$B$2:$B$5,0))-B23)&lt;=30,70%,IF((INDEX('Jogos do Dia'!$A$2:$A$5,MATCH($A23,'Jogos do Dia'!$B$2:$B$5,0))-B23)&lt;=45,50%,IF((INDEX('Jogos do Dia'!$A$2:$A$5,MATCH($A23,'Jogos do Dia'!$B$2:$B$5,0))-B23)&lt;=90,30%,IF((INDEX('Jogos do Dia'!$A$2:$A$5,MATCH($A23,'Jogos do Dia'!$B$2:$B$5,0))-B23)&lt;=180,15%,0%))))))</f>
        <v>#N/A</v>
      </c>
      <c r="AK23" s="11" t="e">
        <f t="shared" si="3"/>
        <v>#N/A</v>
      </c>
    </row>
    <row r="24" spans="23:37" ht="14.25" customHeight="1" x14ac:dyDescent="0.4">
      <c r="W24" s="1" t="str">
        <f t="shared" si="0"/>
        <v>Não</v>
      </c>
      <c r="X24" s="1">
        <f t="shared" si="1"/>
        <v>0</v>
      </c>
      <c r="Y24" s="3" t="str">
        <f t="shared" si="2"/>
        <v>E</v>
      </c>
      <c r="Z24" s="4"/>
      <c r="AG24" s="4" t="e">
        <f>1-(ABS(AB24-INDEX('Jogos do Dia'!$G$2:$G$5,MATCH($A24,'Jogos do Dia'!$B$2:$B$5,0)))+ABS(AC24-INDEX('Jogos do Dia'!$H$2:$H$5,MATCH($A24,'Jogos do Dia'!$B$2:$B$5,0)))+ABS(AD24-INDEX('Jogos do Dia'!$I$2:$I$5,MATCH($A24,'Jogos do Dia'!$B$2:$B$5,0)))+ABS(AE24-INDEX('Jogos do Dia'!$J$2:$J$5,MATCH($A24,'Jogos do Dia'!$B$2:$B$5,0)))+ABS(AF24-INDEX('Jogos do Dia'!$K$2:$K$5,MATCH($A24,'Jogos do Dia'!$B$2:$B$5,0))))/20</f>
        <v>#N/A</v>
      </c>
      <c r="AH24" s="4" t="e">
        <f>1-ABS(Z24-INDEX('Jogos do Dia'!$F$2:$F$5,MATCH($A24,'Jogos do Dia'!$B$2:$B$5,0)))</f>
        <v>#N/A</v>
      </c>
      <c r="AI24" s="4" t="e">
        <f>IF((INDEX('Jogos do Dia'!$A$2:$A$5,MATCH($A24,'Jogos do Dia'!$B$2:$B$5,0))-B24)&lt;=10,100%,IF((INDEX('Jogos do Dia'!$A$2:$A$5,MATCH($A24,'Jogos do Dia'!$B$2:$B$5,0))-B24)&lt;=20,85%,IF((INDEX('Jogos do Dia'!$A$2:$A$5,MATCH($A24,'Jogos do Dia'!$B$2:$B$5,0))-B24)&lt;=30,70%,IF((INDEX('Jogos do Dia'!$A$2:$A$5,MATCH($A24,'Jogos do Dia'!$B$2:$B$5,0))-B24)&lt;=45,50%,IF((INDEX('Jogos do Dia'!$A$2:$A$5,MATCH($A24,'Jogos do Dia'!$B$2:$B$5,0))-B24)&lt;=90,30%,IF((INDEX('Jogos do Dia'!$A$2:$A$5,MATCH($A24,'Jogos do Dia'!$B$2:$B$5,0))-B24)&lt;=180,15%,0%))))))</f>
        <v>#N/A</v>
      </c>
      <c r="AK24" s="11" t="e">
        <f t="shared" si="3"/>
        <v>#N/A</v>
      </c>
    </row>
    <row r="25" spans="23:37" ht="14.25" customHeight="1" x14ac:dyDescent="0.4">
      <c r="W25" s="1" t="str">
        <f t="shared" si="0"/>
        <v>Não</v>
      </c>
      <c r="X25" s="1">
        <f t="shared" si="1"/>
        <v>0</v>
      </c>
      <c r="Y25" s="5" t="str">
        <f t="shared" si="2"/>
        <v>E</v>
      </c>
      <c r="Z25" s="4"/>
      <c r="AG25" s="4" t="e">
        <f>1-(ABS(AB25-INDEX('Jogos do Dia'!$G$2:$G$5,MATCH($A25,'Jogos do Dia'!$B$2:$B$5,0)))+ABS(AC25-INDEX('Jogos do Dia'!$H$2:$H$5,MATCH($A25,'Jogos do Dia'!$B$2:$B$5,0)))+ABS(AD25-INDEX('Jogos do Dia'!$I$2:$I$5,MATCH($A25,'Jogos do Dia'!$B$2:$B$5,0)))+ABS(AE25-INDEX('Jogos do Dia'!$J$2:$J$5,MATCH($A25,'Jogos do Dia'!$B$2:$B$5,0)))+ABS(AF25-INDEX('Jogos do Dia'!$K$2:$K$5,MATCH($A25,'Jogos do Dia'!$B$2:$B$5,0))))/20</f>
        <v>#N/A</v>
      </c>
      <c r="AH25" s="4" t="e">
        <f>1-ABS(Z25-INDEX('Jogos do Dia'!$F$2:$F$5,MATCH($A25,'Jogos do Dia'!$B$2:$B$5,0)))</f>
        <v>#N/A</v>
      </c>
      <c r="AI25" s="4" t="e">
        <f>IF((INDEX('Jogos do Dia'!$A$2:$A$5,MATCH($A25,'Jogos do Dia'!$B$2:$B$5,0))-B25)&lt;=10,100%,IF((INDEX('Jogos do Dia'!$A$2:$A$5,MATCH($A25,'Jogos do Dia'!$B$2:$B$5,0))-B25)&lt;=20,85%,IF((INDEX('Jogos do Dia'!$A$2:$A$5,MATCH($A25,'Jogos do Dia'!$B$2:$B$5,0))-B25)&lt;=30,70%,IF((INDEX('Jogos do Dia'!$A$2:$A$5,MATCH($A25,'Jogos do Dia'!$B$2:$B$5,0))-B25)&lt;=45,50%,IF((INDEX('Jogos do Dia'!$A$2:$A$5,MATCH($A25,'Jogos do Dia'!$B$2:$B$5,0))-B25)&lt;=90,30%,IF((INDEX('Jogos do Dia'!$A$2:$A$5,MATCH($A25,'Jogos do Dia'!$B$2:$B$5,0))-B25)&lt;=180,15%,0%))))))</f>
        <v>#N/A</v>
      </c>
      <c r="AK25" s="11" t="e">
        <f t="shared" si="3"/>
        <v>#N/A</v>
      </c>
    </row>
    <row r="26" spans="23:37" ht="14.25" customHeight="1" x14ac:dyDescent="0.4">
      <c r="W26" s="1" t="str">
        <f t="shared" si="0"/>
        <v>Não</v>
      </c>
      <c r="X26" s="1">
        <f t="shared" si="1"/>
        <v>0</v>
      </c>
      <c r="Y26" s="3" t="str">
        <f t="shared" si="2"/>
        <v>E</v>
      </c>
      <c r="Z26" s="4"/>
      <c r="AG26" s="4" t="e">
        <f>1-(ABS(AB26-INDEX('Jogos do Dia'!$G$2:$G$5,MATCH($A26,'Jogos do Dia'!$B$2:$B$5,0)))+ABS(AC26-INDEX('Jogos do Dia'!$H$2:$H$5,MATCH($A26,'Jogos do Dia'!$B$2:$B$5,0)))+ABS(AD26-INDEX('Jogos do Dia'!$I$2:$I$5,MATCH($A26,'Jogos do Dia'!$B$2:$B$5,0)))+ABS(AE26-INDEX('Jogos do Dia'!$J$2:$J$5,MATCH($A26,'Jogos do Dia'!$B$2:$B$5,0)))+ABS(AF26-INDEX('Jogos do Dia'!$K$2:$K$5,MATCH($A26,'Jogos do Dia'!$B$2:$B$5,0))))/20</f>
        <v>#N/A</v>
      </c>
      <c r="AH26" s="4" t="e">
        <f>1-ABS(Z26-INDEX('Jogos do Dia'!$F$2:$F$5,MATCH($A26,'Jogos do Dia'!$B$2:$B$5,0)))</f>
        <v>#N/A</v>
      </c>
      <c r="AI26" s="4" t="e">
        <f>IF((INDEX('Jogos do Dia'!$A$2:$A$5,MATCH($A26,'Jogos do Dia'!$B$2:$B$5,0))-B26)&lt;=10,100%,IF((INDEX('Jogos do Dia'!$A$2:$A$5,MATCH($A26,'Jogos do Dia'!$B$2:$B$5,0))-B26)&lt;=20,85%,IF((INDEX('Jogos do Dia'!$A$2:$A$5,MATCH($A26,'Jogos do Dia'!$B$2:$B$5,0))-B26)&lt;=30,70%,IF((INDEX('Jogos do Dia'!$A$2:$A$5,MATCH($A26,'Jogos do Dia'!$B$2:$B$5,0))-B26)&lt;=45,50%,IF((INDEX('Jogos do Dia'!$A$2:$A$5,MATCH($A26,'Jogos do Dia'!$B$2:$B$5,0))-B26)&lt;=90,30%,IF((INDEX('Jogos do Dia'!$A$2:$A$5,MATCH($A26,'Jogos do Dia'!$B$2:$B$5,0))-B26)&lt;=180,15%,0%))))))</f>
        <v>#N/A</v>
      </c>
      <c r="AK26" s="11" t="e">
        <f t="shared" si="3"/>
        <v>#N/A</v>
      </c>
    </row>
    <row r="27" spans="23:37" ht="14.25" customHeight="1" x14ac:dyDescent="0.4">
      <c r="W27" s="1" t="str">
        <f t="shared" si="0"/>
        <v>Não</v>
      </c>
      <c r="X27" s="1">
        <f t="shared" si="1"/>
        <v>0</v>
      </c>
      <c r="Y27" s="3" t="str">
        <f t="shared" si="2"/>
        <v>E</v>
      </c>
      <c r="Z27" s="4"/>
      <c r="AG27" s="4" t="e">
        <f>1-(ABS(AB27-INDEX('Jogos do Dia'!$G$2:$G$5,MATCH($A27,'Jogos do Dia'!$B$2:$B$5,0)))+ABS(AC27-INDEX('Jogos do Dia'!$H$2:$H$5,MATCH($A27,'Jogos do Dia'!$B$2:$B$5,0)))+ABS(AD27-INDEX('Jogos do Dia'!$I$2:$I$5,MATCH($A27,'Jogos do Dia'!$B$2:$B$5,0)))+ABS(AE27-INDEX('Jogos do Dia'!$J$2:$J$5,MATCH($A27,'Jogos do Dia'!$B$2:$B$5,0)))+ABS(AF27-INDEX('Jogos do Dia'!$K$2:$K$5,MATCH($A27,'Jogos do Dia'!$B$2:$B$5,0))))/20</f>
        <v>#N/A</v>
      </c>
      <c r="AH27" s="4" t="e">
        <f>1-ABS(Z27-INDEX('Jogos do Dia'!$F$2:$F$5,MATCH($A27,'Jogos do Dia'!$B$2:$B$5,0)))</f>
        <v>#N/A</v>
      </c>
      <c r="AI27" s="4" t="e">
        <f>IF((INDEX('Jogos do Dia'!$A$2:$A$5,MATCH($A27,'Jogos do Dia'!$B$2:$B$5,0))-B27)&lt;=10,100%,IF((INDEX('Jogos do Dia'!$A$2:$A$5,MATCH($A27,'Jogos do Dia'!$B$2:$B$5,0))-B27)&lt;=20,85%,IF((INDEX('Jogos do Dia'!$A$2:$A$5,MATCH($A27,'Jogos do Dia'!$B$2:$B$5,0))-B27)&lt;=30,70%,IF((INDEX('Jogos do Dia'!$A$2:$A$5,MATCH($A27,'Jogos do Dia'!$B$2:$B$5,0))-B27)&lt;=45,50%,IF((INDEX('Jogos do Dia'!$A$2:$A$5,MATCH($A27,'Jogos do Dia'!$B$2:$B$5,0))-B27)&lt;=90,30%,IF((INDEX('Jogos do Dia'!$A$2:$A$5,MATCH($A27,'Jogos do Dia'!$B$2:$B$5,0))-B27)&lt;=180,15%,0%))))))</f>
        <v>#N/A</v>
      </c>
      <c r="AK27" s="11" t="e">
        <f t="shared" si="3"/>
        <v>#N/A</v>
      </c>
    </row>
    <row r="28" spans="23:37" ht="14.25" customHeight="1" x14ac:dyDescent="0.4">
      <c r="W28" s="1" t="str">
        <f t="shared" si="0"/>
        <v>Não</v>
      </c>
      <c r="X28" s="1">
        <f t="shared" si="1"/>
        <v>0</v>
      </c>
      <c r="Y28" s="3" t="str">
        <f t="shared" si="2"/>
        <v>E</v>
      </c>
      <c r="Z28" s="4"/>
      <c r="AG28" s="4" t="e">
        <f>1-(ABS(AB28-INDEX('Jogos do Dia'!$G$2:$G$5,MATCH($A28,'Jogos do Dia'!$B$2:$B$5,0)))+ABS(AC28-INDEX('Jogos do Dia'!$H$2:$H$5,MATCH($A28,'Jogos do Dia'!$B$2:$B$5,0)))+ABS(AD28-INDEX('Jogos do Dia'!$I$2:$I$5,MATCH($A28,'Jogos do Dia'!$B$2:$B$5,0)))+ABS(AE28-INDEX('Jogos do Dia'!$J$2:$J$5,MATCH($A28,'Jogos do Dia'!$B$2:$B$5,0)))+ABS(AF28-INDEX('Jogos do Dia'!$K$2:$K$5,MATCH($A28,'Jogos do Dia'!$B$2:$B$5,0))))/20</f>
        <v>#N/A</v>
      </c>
      <c r="AH28" s="4" t="e">
        <f>1-ABS(Z28-INDEX('Jogos do Dia'!$F$2:$F$5,MATCH($A28,'Jogos do Dia'!$B$2:$B$5,0)))</f>
        <v>#N/A</v>
      </c>
      <c r="AI28" s="4" t="e">
        <f>IF((INDEX('Jogos do Dia'!$A$2:$A$5,MATCH($A28,'Jogos do Dia'!$B$2:$B$5,0))-B28)&lt;=10,100%,IF((INDEX('Jogos do Dia'!$A$2:$A$5,MATCH($A28,'Jogos do Dia'!$B$2:$B$5,0))-B28)&lt;=20,85%,IF((INDEX('Jogos do Dia'!$A$2:$A$5,MATCH($A28,'Jogos do Dia'!$B$2:$B$5,0))-B28)&lt;=30,70%,IF((INDEX('Jogos do Dia'!$A$2:$A$5,MATCH($A28,'Jogos do Dia'!$B$2:$B$5,0))-B28)&lt;=45,50%,IF((INDEX('Jogos do Dia'!$A$2:$A$5,MATCH($A28,'Jogos do Dia'!$B$2:$B$5,0))-B28)&lt;=90,30%,IF((INDEX('Jogos do Dia'!$A$2:$A$5,MATCH($A28,'Jogos do Dia'!$B$2:$B$5,0))-B28)&lt;=180,15%,0%))))))</f>
        <v>#N/A</v>
      </c>
      <c r="AK28" s="11" t="e">
        <f t="shared" si="3"/>
        <v>#N/A</v>
      </c>
    </row>
    <row r="29" spans="23:37" ht="14.25" customHeight="1" x14ac:dyDescent="0.4">
      <c r="W29" s="1" t="str">
        <f t="shared" si="0"/>
        <v>Não</v>
      </c>
      <c r="X29" s="1">
        <f t="shared" si="1"/>
        <v>0</v>
      </c>
      <c r="Y29" s="3" t="str">
        <f t="shared" si="2"/>
        <v>E</v>
      </c>
      <c r="Z29" s="4"/>
      <c r="AG29" s="4" t="e">
        <f>1-(ABS(AB29-INDEX('Jogos do Dia'!$G$2:$G$5,MATCH($A29,'Jogos do Dia'!$B$2:$B$5,0)))+ABS(AC29-INDEX('Jogos do Dia'!$H$2:$H$5,MATCH($A29,'Jogos do Dia'!$B$2:$B$5,0)))+ABS(AD29-INDEX('Jogos do Dia'!$I$2:$I$5,MATCH($A29,'Jogos do Dia'!$B$2:$B$5,0)))+ABS(AE29-INDEX('Jogos do Dia'!$J$2:$J$5,MATCH($A29,'Jogos do Dia'!$B$2:$B$5,0)))+ABS(AF29-INDEX('Jogos do Dia'!$K$2:$K$5,MATCH($A29,'Jogos do Dia'!$B$2:$B$5,0))))/20</f>
        <v>#N/A</v>
      </c>
      <c r="AH29" s="4" t="e">
        <f>1-ABS(Z29-INDEX('Jogos do Dia'!$F$2:$F$5,MATCH($A29,'Jogos do Dia'!$B$2:$B$5,0)))</f>
        <v>#N/A</v>
      </c>
      <c r="AI29" s="4" t="e">
        <f>IF((INDEX('Jogos do Dia'!$A$2:$A$5,MATCH($A29,'Jogos do Dia'!$B$2:$B$5,0))-B29)&lt;=10,100%,IF((INDEX('Jogos do Dia'!$A$2:$A$5,MATCH($A29,'Jogos do Dia'!$B$2:$B$5,0))-B29)&lt;=20,85%,IF((INDEX('Jogos do Dia'!$A$2:$A$5,MATCH($A29,'Jogos do Dia'!$B$2:$B$5,0))-B29)&lt;=30,70%,IF((INDEX('Jogos do Dia'!$A$2:$A$5,MATCH($A29,'Jogos do Dia'!$B$2:$B$5,0))-B29)&lt;=45,50%,IF((INDEX('Jogos do Dia'!$A$2:$A$5,MATCH($A29,'Jogos do Dia'!$B$2:$B$5,0))-B29)&lt;=90,30%,IF((INDEX('Jogos do Dia'!$A$2:$A$5,MATCH($A29,'Jogos do Dia'!$B$2:$B$5,0))-B29)&lt;=180,15%,0%))))))</f>
        <v>#N/A</v>
      </c>
      <c r="AK29" s="11" t="e">
        <f t="shared" si="3"/>
        <v>#N/A</v>
      </c>
    </row>
    <row r="30" spans="23:37" ht="14.25" customHeight="1" x14ac:dyDescent="0.4">
      <c r="W30" s="1" t="str">
        <f t="shared" si="0"/>
        <v>Não</v>
      </c>
      <c r="X30" s="1">
        <f t="shared" si="1"/>
        <v>0</v>
      </c>
      <c r="Y30" s="3" t="str">
        <f t="shared" si="2"/>
        <v>E</v>
      </c>
      <c r="Z30" s="4"/>
      <c r="AG30" s="4" t="e">
        <f>1-(ABS(AB30-INDEX('Jogos do Dia'!$G$2:$G$5,MATCH($A30,'Jogos do Dia'!$B$2:$B$5,0)))+ABS(AC30-INDEX('Jogos do Dia'!$H$2:$H$5,MATCH($A30,'Jogos do Dia'!$B$2:$B$5,0)))+ABS(AD30-INDEX('Jogos do Dia'!$I$2:$I$5,MATCH($A30,'Jogos do Dia'!$B$2:$B$5,0)))+ABS(AE30-INDEX('Jogos do Dia'!$J$2:$J$5,MATCH($A30,'Jogos do Dia'!$B$2:$B$5,0)))+ABS(AF30-INDEX('Jogos do Dia'!$K$2:$K$5,MATCH($A30,'Jogos do Dia'!$B$2:$B$5,0))))/20</f>
        <v>#N/A</v>
      </c>
      <c r="AH30" s="4" t="e">
        <f>1-ABS(Z30-INDEX('Jogos do Dia'!$F$2:$F$5,MATCH($A30,'Jogos do Dia'!$B$2:$B$5,0)))</f>
        <v>#N/A</v>
      </c>
      <c r="AI30" s="4" t="e">
        <f>IF((INDEX('Jogos do Dia'!$A$2:$A$5,MATCH($A30,'Jogos do Dia'!$B$2:$B$5,0))-B30)&lt;=10,100%,IF((INDEX('Jogos do Dia'!$A$2:$A$5,MATCH($A30,'Jogos do Dia'!$B$2:$B$5,0))-B30)&lt;=20,85%,IF((INDEX('Jogos do Dia'!$A$2:$A$5,MATCH($A30,'Jogos do Dia'!$B$2:$B$5,0))-B30)&lt;=30,70%,IF((INDEX('Jogos do Dia'!$A$2:$A$5,MATCH($A30,'Jogos do Dia'!$B$2:$B$5,0))-B30)&lt;=45,50%,IF((INDEX('Jogos do Dia'!$A$2:$A$5,MATCH($A30,'Jogos do Dia'!$B$2:$B$5,0))-B30)&lt;=90,30%,IF((INDEX('Jogos do Dia'!$A$2:$A$5,MATCH($A30,'Jogos do Dia'!$B$2:$B$5,0))-B30)&lt;=180,15%,0%))))))</f>
        <v>#N/A</v>
      </c>
      <c r="AK30" s="11" t="e">
        <f t="shared" si="3"/>
        <v>#N/A</v>
      </c>
    </row>
    <row r="31" spans="23:37" ht="14.25" customHeight="1" x14ac:dyDescent="0.4">
      <c r="W31" s="1" t="str">
        <f t="shared" si="0"/>
        <v>Não</v>
      </c>
      <c r="X31" s="1">
        <f t="shared" si="1"/>
        <v>0</v>
      </c>
      <c r="Y31" s="3" t="str">
        <f t="shared" si="2"/>
        <v>E</v>
      </c>
      <c r="Z31" s="4"/>
      <c r="AG31" s="4" t="e">
        <f>1-(ABS(AB31-INDEX('Jogos do Dia'!$G$2:$G$5,MATCH($A31,'Jogos do Dia'!$B$2:$B$5,0)))+ABS(AC31-INDEX('Jogos do Dia'!$H$2:$H$5,MATCH($A31,'Jogos do Dia'!$B$2:$B$5,0)))+ABS(AD31-INDEX('Jogos do Dia'!$I$2:$I$5,MATCH($A31,'Jogos do Dia'!$B$2:$B$5,0)))+ABS(AE31-INDEX('Jogos do Dia'!$J$2:$J$5,MATCH($A31,'Jogos do Dia'!$B$2:$B$5,0)))+ABS(AF31-INDEX('Jogos do Dia'!$K$2:$K$5,MATCH($A31,'Jogos do Dia'!$B$2:$B$5,0))))/20</f>
        <v>#N/A</v>
      </c>
      <c r="AH31" s="4" t="e">
        <f>1-ABS(Z31-INDEX('Jogos do Dia'!$F$2:$F$5,MATCH($A31,'Jogos do Dia'!$B$2:$B$5,0)))</f>
        <v>#N/A</v>
      </c>
      <c r="AI31" s="4" t="e">
        <f>IF((INDEX('Jogos do Dia'!$A$2:$A$5,MATCH($A31,'Jogos do Dia'!$B$2:$B$5,0))-B31)&lt;=10,100%,IF((INDEX('Jogos do Dia'!$A$2:$A$5,MATCH($A31,'Jogos do Dia'!$B$2:$B$5,0))-B31)&lt;=20,85%,IF((INDEX('Jogos do Dia'!$A$2:$A$5,MATCH($A31,'Jogos do Dia'!$B$2:$B$5,0))-B31)&lt;=30,70%,IF((INDEX('Jogos do Dia'!$A$2:$A$5,MATCH($A31,'Jogos do Dia'!$B$2:$B$5,0))-B31)&lt;=45,50%,IF((INDEX('Jogos do Dia'!$A$2:$A$5,MATCH($A31,'Jogos do Dia'!$B$2:$B$5,0))-B31)&lt;=90,30%,IF((INDEX('Jogos do Dia'!$A$2:$A$5,MATCH($A31,'Jogos do Dia'!$B$2:$B$5,0))-B31)&lt;=180,15%,0%))))))</f>
        <v>#N/A</v>
      </c>
      <c r="AK31" s="11" t="e">
        <f t="shared" si="3"/>
        <v>#N/A</v>
      </c>
    </row>
    <row r="32" spans="23:37" ht="14.25" customHeight="1" x14ac:dyDescent="0.4">
      <c r="W32" s="1" t="str">
        <f t="shared" si="0"/>
        <v>Não</v>
      </c>
      <c r="X32" s="1">
        <f t="shared" si="1"/>
        <v>0</v>
      </c>
      <c r="Y32" s="3" t="str">
        <f t="shared" si="2"/>
        <v>E</v>
      </c>
      <c r="Z32" s="4"/>
      <c r="AG32" s="4" t="e">
        <f>1-(ABS(AB32-INDEX('Jogos do Dia'!$G$2:$G$5,MATCH($A32,'Jogos do Dia'!$B$2:$B$5,0)))+ABS(AC32-INDEX('Jogos do Dia'!$H$2:$H$5,MATCH($A32,'Jogos do Dia'!$B$2:$B$5,0)))+ABS(AD32-INDEX('Jogos do Dia'!$I$2:$I$5,MATCH($A32,'Jogos do Dia'!$B$2:$B$5,0)))+ABS(AE32-INDEX('Jogos do Dia'!$J$2:$J$5,MATCH($A32,'Jogos do Dia'!$B$2:$B$5,0)))+ABS(AF32-INDEX('Jogos do Dia'!$K$2:$K$5,MATCH($A32,'Jogos do Dia'!$B$2:$B$5,0))))/20</f>
        <v>#N/A</v>
      </c>
      <c r="AH32" s="4" t="e">
        <f>1-ABS(Z32-INDEX('Jogos do Dia'!$F$2:$F$5,MATCH($A32,'Jogos do Dia'!$B$2:$B$5,0)))</f>
        <v>#N/A</v>
      </c>
      <c r="AI32" s="4" t="e">
        <f>IF((INDEX('Jogos do Dia'!$A$2:$A$5,MATCH($A32,'Jogos do Dia'!$B$2:$B$5,0))-B32)&lt;=10,100%,IF((INDEX('Jogos do Dia'!$A$2:$A$5,MATCH($A32,'Jogos do Dia'!$B$2:$B$5,0))-B32)&lt;=20,85%,IF((INDEX('Jogos do Dia'!$A$2:$A$5,MATCH($A32,'Jogos do Dia'!$B$2:$B$5,0))-B32)&lt;=30,70%,IF((INDEX('Jogos do Dia'!$A$2:$A$5,MATCH($A32,'Jogos do Dia'!$B$2:$B$5,0))-B32)&lt;=45,50%,IF((INDEX('Jogos do Dia'!$A$2:$A$5,MATCH($A32,'Jogos do Dia'!$B$2:$B$5,0))-B32)&lt;=90,30%,IF((INDEX('Jogos do Dia'!$A$2:$A$5,MATCH($A32,'Jogos do Dia'!$B$2:$B$5,0))-B32)&lt;=180,15%,0%))))))</f>
        <v>#N/A</v>
      </c>
      <c r="AK32" s="11" t="e">
        <f t="shared" si="3"/>
        <v>#N/A</v>
      </c>
    </row>
    <row r="33" spans="23:37" ht="14.25" customHeight="1" x14ac:dyDescent="0.4">
      <c r="W33" s="1" t="str">
        <f t="shared" si="0"/>
        <v>Não</v>
      </c>
      <c r="X33" s="1">
        <f t="shared" si="1"/>
        <v>0</v>
      </c>
      <c r="Y33" s="3" t="str">
        <f t="shared" si="2"/>
        <v>E</v>
      </c>
      <c r="Z33" s="4"/>
      <c r="AG33" s="4" t="e">
        <f>1-(ABS(AB33-INDEX('Jogos do Dia'!$G$2:$G$5,MATCH($A33,'Jogos do Dia'!$B$2:$B$5,0)))+ABS(AC33-INDEX('Jogos do Dia'!$H$2:$H$5,MATCH($A33,'Jogos do Dia'!$B$2:$B$5,0)))+ABS(AD33-INDEX('Jogos do Dia'!$I$2:$I$5,MATCH($A33,'Jogos do Dia'!$B$2:$B$5,0)))+ABS(AE33-INDEX('Jogos do Dia'!$J$2:$J$5,MATCH($A33,'Jogos do Dia'!$B$2:$B$5,0)))+ABS(AF33-INDEX('Jogos do Dia'!$K$2:$K$5,MATCH($A33,'Jogos do Dia'!$B$2:$B$5,0))))/20</f>
        <v>#N/A</v>
      </c>
      <c r="AH33" s="4" t="e">
        <f>1-ABS(Z33-INDEX('Jogos do Dia'!$F$2:$F$5,MATCH($A33,'Jogos do Dia'!$B$2:$B$5,0)))</f>
        <v>#N/A</v>
      </c>
      <c r="AI33" s="4" t="e">
        <f>IF((INDEX('Jogos do Dia'!$A$2:$A$5,MATCH($A33,'Jogos do Dia'!$B$2:$B$5,0))-B33)&lt;=10,100%,IF((INDEX('Jogos do Dia'!$A$2:$A$5,MATCH($A33,'Jogos do Dia'!$B$2:$B$5,0))-B33)&lt;=20,85%,IF((INDEX('Jogos do Dia'!$A$2:$A$5,MATCH($A33,'Jogos do Dia'!$B$2:$B$5,0))-B33)&lt;=30,70%,IF((INDEX('Jogos do Dia'!$A$2:$A$5,MATCH($A33,'Jogos do Dia'!$B$2:$B$5,0))-B33)&lt;=45,50%,IF((INDEX('Jogos do Dia'!$A$2:$A$5,MATCH($A33,'Jogos do Dia'!$B$2:$B$5,0))-B33)&lt;=90,30%,IF((INDEX('Jogos do Dia'!$A$2:$A$5,MATCH($A33,'Jogos do Dia'!$B$2:$B$5,0))-B33)&lt;=180,15%,0%))))))</f>
        <v>#N/A</v>
      </c>
      <c r="AK33" s="11" t="e">
        <f t="shared" si="3"/>
        <v>#N/A</v>
      </c>
    </row>
    <row r="34" spans="23:37" ht="14.25" customHeight="1" x14ac:dyDescent="0.4">
      <c r="W34" s="1" t="str">
        <f t="shared" ref="W34:W61" si="4">IF(AND(F34&gt;1,G34&gt;1),"Sim","Não")</f>
        <v>Não</v>
      </c>
      <c r="X34" s="1">
        <f t="shared" ref="X34:X61" si="5">F34-G34</f>
        <v>0</v>
      </c>
      <c r="Y34" s="5" t="str">
        <f t="shared" ref="Y34:Y61" si="6">IF(F34&gt;G34,"V",IF(F34=G34,"E","D"))</f>
        <v>E</v>
      </c>
      <c r="Z34" s="4"/>
      <c r="AG34" s="4" t="e">
        <f>1-(ABS(AB34-INDEX('Jogos do Dia'!$G$2:$G$5,MATCH($A34,'Jogos do Dia'!$B$2:$B$5,0)))+ABS(AC34-INDEX('Jogos do Dia'!$H$2:$H$5,MATCH($A34,'Jogos do Dia'!$B$2:$B$5,0)))+ABS(AD34-INDEX('Jogos do Dia'!$I$2:$I$5,MATCH($A34,'Jogos do Dia'!$B$2:$B$5,0)))+ABS(AE34-INDEX('Jogos do Dia'!$J$2:$J$5,MATCH($A34,'Jogos do Dia'!$B$2:$B$5,0)))+ABS(AF34-INDEX('Jogos do Dia'!$K$2:$K$5,MATCH($A34,'Jogos do Dia'!$B$2:$B$5,0))))/20</f>
        <v>#N/A</v>
      </c>
      <c r="AH34" s="4" t="e">
        <f>1-ABS(Z34-INDEX('Jogos do Dia'!$F$2:$F$5,MATCH($A34,'Jogos do Dia'!$B$2:$B$5,0)))</f>
        <v>#N/A</v>
      </c>
      <c r="AI34" s="4" t="e">
        <f>IF((INDEX('Jogos do Dia'!$A$2:$A$5,MATCH($A34,'Jogos do Dia'!$B$2:$B$5,0))-B34)&lt;=10,100%,IF((INDEX('Jogos do Dia'!$A$2:$A$5,MATCH($A34,'Jogos do Dia'!$B$2:$B$5,0))-B34)&lt;=20,85%,IF((INDEX('Jogos do Dia'!$A$2:$A$5,MATCH($A34,'Jogos do Dia'!$B$2:$B$5,0))-B34)&lt;=30,70%,IF((INDEX('Jogos do Dia'!$A$2:$A$5,MATCH($A34,'Jogos do Dia'!$B$2:$B$5,0))-B34)&lt;=45,50%,IF((INDEX('Jogos do Dia'!$A$2:$A$5,MATCH($A34,'Jogos do Dia'!$B$2:$B$5,0))-B34)&lt;=90,30%,IF((INDEX('Jogos do Dia'!$A$2:$A$5,MATCH($A34,'Jogos do Dia'!$B$2:$B$5,0))-B34)&lt;=180,15%,0%))))))</f>
        <v>#N/A</v>
      </c>
      <c r="AK34" s="11" t="e">
        <f t="shared" si="3"/>
        <v>#N/A</v>
      </c>
    </row>
    <row r="35" spans="23:37" ht="14.25" customHeight="1" x14ac:dyDescent="0.4">
      <c r="W35" s="1" t="str">
        <f t="shared" si="4"/>
        <v>Não</v>
      </c>
      <c r="X35" s="1">
        <f t="shared" si="5"/>
        <v>0</v>
      </c>
      <c r="Y35" s="5" t="str">
        <f t="shared" si="6"/>
        <v>E</v>
      </c>
      <c r="Z35" s="4"/>
      <c r="AG35" s="4" t="e">
        <f>1-(ABS(AB35-INDEX('Jogos do Dia'!$G$2:$G$5,MATCH($A35,'Jogos do Dia'!$B$2:$B$5,0)))+ABS(AC35-INDEX('Jogos do Dia'!$H$2:$H$5,MATCH($A35,'Jogos do Dia'!$B$2:$B$5,0)))+ABS(AD35-INDEX('Jogos do Dia'!$I$2:$I$5,MATCH($A35,'Jogos do Dia'!$B$2:$B$5,0)))+ABS(AE35-INDEX('Jogos do Dia'!$J$2:$J$5,MATCH($A35,'Jogos do Dia'!$B$2:$B$5,0)))+ABS(AF35-INDEX('Jogos do Dia'!$K$2:$K$5,MATCH($A35,'Jogos do Dia'!$B$2:$B$5,0))))/20</f>
        <v>#N/A</v>
      </c>
      <c r="AH35" s="4" t="e">
        <f>1-ABS(Z35-INDEX('Jogos do Dia'!$F$2:$F$5,MATCH($A35,'Jogos do Dia'!$B$2:$B$5,0)))</f>
        <v>#N/A</v>
      </c>
      <c r="AI35" s="4" t="e">
        <f>IF((INDEX('Jogos do Dia'!$A$2:$A$5,MATCH($A35,'Jogos do Dia'!$B$2:$B$5,0))-B35)&lt;=10,100%,IF((INDEX('Jogos do Dia'!$A$2:$A$5,MATCH($A35,'Jogos do Dia'!$B$2:$B$5,0))-B35)&lt;=20,85%,IF((INDEX('Jogos do Dia'!$A$2:$A$5,MATCH($A35,'Jogos do Dia'!$B$2:$B$5,0))-B35)&lt;=30,70%,IF((INDEX('Jogos do Dia'!$A$2:$A$5,MATCH($A35,'Jogos do Dia'!$B$2:$B$5,0))-B35)&lt;=45,50%,IF((INDEX('Jogos do Dia'!$A$2:$A$5,MATCH($A35,'Jogos do Dia'!$B$2:$B$5,0))-B35)&lt;=90,30%,IF((INDEX('Jogos do Dia'!$A$2:$A$5,MATCH($A35,'Jogos do Dia'!$B$2:$B$5,0))-B35)&lt;=180,15%,0%))))))</f>
        <v>#N/A</v>
      </c>
      <c r="AK35" s="11" t="e">
        <f t="shared" si="3"/>
        <v>#N/A</v>
      </c>
    </row>
    <row r="36" spans="23:37" ht="14.25" customHeight="1" x14ac:dyDescent="0.4">
      <c r="W36" s="1" t="str">
        <f t="shared" si="4"/>
        <v>Não</v>
      </c>
      <c r="X36" s="1">
        <f t="shared" si="5"/>
        <v>0</v>
      </c>
      <c r="Y36" s="3" t="str">
        <f t="shared" si="6"/>
        <v>E</v>
      </c>
      <c r="Z36" s="4"/>
      <c r="AG36" s="4" t="e">
        <f>1-(ABS(AB36-INDEX('Jogos do Dia'!$G$2:$G$5,MATCH($A36,'Jogos do Dia'!$B$2:$B$5,0)))+ABS(AC36-INDEX('Jogos do Dia'!$H$2:$H$5,MATCH($A36,'Jogos do Dia'!$B$2:$B$5,0)))+ABS(AD36-INDEX('Jogos do Dia'!$I$2:$I$5,MATCH($A36,'Jogos do Dia'!$B$2:$B$5,0)))+ABS(AE36-INDEX('Jogos do Dia'!$J$2:$J$5,MATCH($A36,'Jogos do Dia'!$B$2:$B$5,0)))+ABS(AF36-INDEX('Jogos do Dia'!$K$2:$K$5,MATCH($A36,'Jogos do Dia'!$B$2:$B$5,0))))/20</f>
        <v>#N/A</v>
      </c>
      <c r="AH36" s="4" t="e">
        <f>1-ABS(Z36-INDEX('Jogos do Dia'!$F$2:$F$5,MATCH($A36,'Jogos do Dia'!$B$2:$B$5,0)))</f>
        <v>#N/A</v>
      </c>
      <c r="AI36" s="4" t="e">
        <f>IF((INDEX('Jogos do Dia'!$A$2:$A$5,MATCH($A36,'Jogos do Dia'!$B$2:$B$5,0))-B36)&lt;=10,100%,IF((INDEX('Jogos do Dia'!$A$2:$A$5,MATCH($A36,'Jogos do Dia'!$B$2:$B$5,0))-B36)&lt;=20,85%,IF((INDEX('Jogos do Dia'!$A$2:$A$5,MATCH($A36,'Jogos do Dia'!$B$2:$B$5,0))-B36)&lt;=30,70%,IF((INDEX('Jogos do Dia'!$A$2:$A$5,MATCH($A36,'Jogos do Dia'!$B$2:$B$5,0))-B36)&lt;=45,50%,IF((INDEX('Jogos do Dia'!$A$2:$A$5,MATCH($A36,'Jogos do Dia'!$B$2:$B$5,0))-B36)&lt;=90,30%,IF((INDEX('Jogos do Dia'!$A$2:$A$5,MATCH($A36,'Jogos do Dia'!$B$2:$B$5,0))-B36)&lt;=180,15%,0%))))))</f>
        <v>#N/A</v>
      </c>
      <c r="AK36" s="11" t="e">
        <f t="shared" si="3"/>
        <v>#N/A</v>
      </c>
    </row>
    <row r="37" spans="23:37" ht="14.25" customHeight="1" x14ac:dyDescent="0.4">
      <c r="W37" s="1" t="str">
        <f t="shared" si="4"/>
        <v>Não</v>
      </c>
      <c r="X37" s="1">
        <f t="shared" si="5"/>
        <v>0</v>
      </c>
      <c r="Y37" s="3" t="str">
        <f t="shared" si="6"/>
        <v>E</v>
      </c>
      <c r="Z37" s="4"/>
      <c r="AG37" s="4" t="e">
        <f>1-(ABS(AB37-INDEX('Jogos do Dia'!$G$2:$G$5,MATCH($A37,'Jogos do Dia'!$B$2:$B$5,0)))+ABS(AC37-INDEX('Jogos do Dia'!$H$2:$H$5,MATCH($A37,'Jogos do Dia'!$B$2:$B$5,0)))+ABS(AD37-INDEX('Jogos do Dia'!$I$2:$I$5,MATCH($A37,'Jogos do Dia'!$B$2:$B$5,0)))+ABS(AE37-INDEX('Jogos do Dia'!$J$2:$J$5,MATCH($A37,'Jogos do Dia'!$B$2:$B$5,0)))+ABS(AF37-INDEX('Jogos do Dia'!$K$2:$K$5,MATCH($A37,'Jogos do Dia'!$B$2:$B$5,0))))/20</f>
        <v>#N/A</v>
      </c>
      <c r="AH37" s="4" t="e">
        <f>1-ABS(Z37-INDEX('Jogos do Dia'!$F$2:$F$5,MATCH($A37,'Jogos do Dia'!$B$2:$B$5,0)))</f>
        <v>#N/A</v>
      </c>
      <c r="AI37" s="4" t="e">
        <f>IF((INDEX('Jogos do Dia'!$A$2:$A$5,MATCH($A37,'Jogos do Dia'!$B$2:$B$5,0))-B37)&lt;=10,100%,IF((INDEX('Jogos do Dia'!$A$2:$A$5,MATCH($A37,'Jogos do Dia'!$B$2:$B$5,0))-B37)&lt;=20,85%,IF((INDEX('Jogos do Dia'!$A$2:$A$5,MATCH($A37,'Jogos do Dia'!$B$2:$B$5,0))-B37)&lt;=30,70%,IF((INDEX('Jogos do Dia'!$A$2:$A$5,MATCH($A37,'Jogos do Dia'!$B$2:$B$5,0))-B37)&lt;=45,50%,IF((INDEX('Jogos do Dia'!$A$2:$A$5,MATCH($A37,'Jogos do Dia'!$B$2:$B$5,0))-B37)&lt;=90,30%,IF((INDEX('Jogos do Dia'!$A$2:$A$5,MATCH($A37,'Jogos do Dia'!$B$2:$B$5,0))-B37)&lt;=180,15%,0%))))))</f>
        <v>#N/A</v>
      </c>
      <c r="AK37" s="11" t="e">
        <f t="shared" si="3"/>
        <v>#N/A</v>
      </c>
    </row>
    <row r="38" spans="23:37" ht="14.25" customHeight="1" x14ac:dyDescent="0.4">
      <c r="W38" s="1" t="str">
        <f t="shared" si="4"/>
        <v>Não</v>
      </c>
      <c r="X38" s="1">
        <f t="shared" si="5"/>
        <v>0</v>
      </c>
      <c r="Y38" s="5" t="str">
        <f t="shared" si="6"/>
        <v>E</v>
      </c>
      <c r="Z38" s="4"/>
      <c r="AG38" s="4" t="e">
        <f>1-(ABS(AB38-INDEX('Jogos do Dia'!$G$2:$G$5,MATCH($A38,'Jogos do Dia'!$B$2:$B$5,0)))+ABS(AC38-INDEX('Jogos do Dia'!$H$2:$H$5,MATCH($A38,'Jogos do Dia'!$B$2:$B$5,0)))+ABS(AD38-INDEX('Jogos do Dia'!$I$2:$I$5,MATCH($A38,'Jogos do Dia'!$B$2:$B$5,0)))+ABS(AE38-INDEX('Jogos do Dia'!$J$2:$J$5,MATCH($A38,'Jogos do Dia'!$B$2:$B$5,0)))+ABS(AF38-INDEX('Jogos do Dia'!$K$2:$K$5,MATCH($A38,'Jogos do Dia'!$B$2:$B$5,0))))/20</f>
        <v>#N/A</v>
      </c>
      <c r="AH38" s="4" t="e">
        <f>1-ABS(Z38-INDEX('Jogos do Dia'!$F$2:$F$5,MATCH($A38,'Jogos do Dia'!$B$2:$B$5,0)))</f>
        <v>#N/A</v>
      </c>
      <c r="AI38" s="4" t="e">
        <f>IF((INDEX('Jogos do Dia'!$A$2:$A$5,MATCH($A38,'Jogos do Dia'!$B$2:$B$5,0))-B38)&lt;=10,100%,IF((INDEX('Jogos do Dia'!$A$2:$A$5,MATCH($A38,'Jogos do Dia'!$B$2:$B$5,0))-B38)&lt;=20,85%,IF((INDEX('Jogos do Dia'!$A$2:$A$5,MATCH($A38,'Jogos do Dia'!$B$2:$B$5,0))-B38)&lt;=30,70%,IF((INDEX('Jogos do Dia'!$A$2:$A$5,MATCH($A38,'Jogos do Dia'!$B$2:$B$5,0))-B38)&lt;=45,50%,IF((INDEX('Jogos do Dia'!$A$2:$A$5,MATCH($A38,'Jogos do Dia'!$B$2:$B$5,0))-B38)&lt;=90,30%,IF((INDEX('Jogos do Dia'!$A$2:$A$5,MATCH($A38,'Jogos do Dia'!$B$2:$B$5,0))-B38)&lt;=180,15%,0%))))))</f>
        <v>#N/A</v>
      </c>
      <c r="AK38" s="11" t="e">
        <f t="shared" si="3"/>
        <v>#N/A</v>
      </c>
    </row>
    <row r="39" spans="23:37" ht="14.25" customHeight="1" x14ac:dyDescent="0.4">
      <c r="W39" s="1" t="str">
        <f t="shared" si="4"/>
        <v>Não</v>
      </c>
      <c r="X39" s="1">
        <f t="shared" si="5"/>
        <v>0</v>
      </c>
      <c r="Y39" s="3" t="str">
        <f t="shared" si="6"/>
        <v>E</v>
      </c>
      <c r="Z39" s="4"/>
      <c r="AG39" s="4" t="e">
        <f>1-(ABS(AB39-INDEX('Jogos do Dia'!$G$2:$G$5,MATCH($A39,'Jogos do Dia'!$B$2:$B$5,0)))+ABS(AC39-INDEX('Jogos do Dia'!$H$2:$H$5,MATCH($A39,'Jogos do Dia'!$B$2:$B$5,0)))+ABS(AD39-INDEX('Jogos do Dia'!$I$2:$I$5,MATCH($A39,'Jogos do Dia'!$B$2:$B$5,0)))+ABS(AE39-INDEX('Jogos do Dia'!$J$2:$J$5,MATCH($A39,'Jogos do Dia'!$B$2:$B$5,0)))+ABS(AF39-INDEX('Jogos do Dia'!$K$2:$K$5,MATCH($A39,'Jogos do Dia'!$B$2:$B$5,0))))/20</f>
        <v>#N/A</v>
      </c>
      <c r="AH39" s="4" t="e">
        <f>1-ABS(Z39-INDEX('Jogos do Dia'!$F$2:$F$5,MATCH($A39,'Jogos do Dia'!$B$2:$B$5,0)))</f>
        <v>#N/A</v>
      </c>
      <c r="AI39" s="4" t="e">
        <f>IF((INDEX('Jogos do Dia'!$A$2:$A$5,MATCH($A39,'Jogos do Dia'!$B$2:$B$5,0))-B39)&lt;=10,100%,IF((INDEX('Jogos do Dia'!$A$2:$A$5,MATCH($A39,'Jogos do Dia'!$B$2:$B$5,0))-B39)&lt;=20,85%,IF((INDEX('Jogos do Dia'!$A$2:$A$5,MATCH($A39,'Jogos do Dia'!$B$2:$B$5,0))-B39)&lt;=30,70%,IF((INDEX('Jogos do Dia'!$A$2:$A$5,MATCH($A39,'Jogos do Dia'!$B$2:$B$5,0))-B39)&lt;=45,50%,IF((INDEX('Jogos do Dia'!$A$2:$A$5,MATCH($A39,'Jogos do Dia'!$B$2:$B$5,0))-B39)&lt;=90,30%,IF((INDEX('Jogos do Dia'!$A$2:$A$5,MATCH($A39,'Jogos do Dia'!$B$2:$B$5,0))-B39)&lt;=180,15%,0%))))))</f>
        <v>#N/A</v>
      </c>
      <c r="AK39" s="11" t="e">
        <f t="shared" si="3"/>
        <v>#N/A</v>
      </c>
    </row>
    <row r="40" spans="23:37" ht="14.25" customHeight="1" x14ac:dyDescent="0.4">
      <c r="W40" s="1" t="str">
        <f t="shared" si="4"/>
        <v>Não</v>
      </c>
      <c r="X40" s="1">
        <f t="shared" si="5"/>
        <v>0</v>
      </c>
      <c r="Y40" s="3" t="str">
        <f t="shared" si="6"/>
        <v>E</v>
      </c>
      <c r="Z40" s="4"/>
      <c r="AG40" s="4" t="e">
        <f>1-(ABS(AB40-INDEX('Jogos do Dia'!$G$2:$G$5,MATCH($A40,'Jogos do Dia'!$B$2:$B$5,0)))+ABS(AC40-INDEX('Jogos do Dia'!$H$2:$H$5,MATCH($A40,'Jogos do Dia'!$B$2:$B$5,0)))+ABS(AD40-INDEX('Jogos do Dia'!$I$2:$I$5,MATCH($A40,'Jogos do Dia'!$B$2:$B$5,0)))+ABS(AE40-INDEX('Jogos do Dia'!$J$2:$J$5,MATCH($A40,'Jogos do Dia'!$B$2:$B$5,0)))+ABS(AF40-INDEX('Jogos do Dia'!$K$2:$K$5,MATCH($A40,'Jogos do Dia'!$B$2:$B$5,0))))/20</f>
        <v>#N/A</v>
      </c>
      <c r="AH40" s="4" t="e">
        <f>1-ABS(Z40-INDEX('Jogos do Dia'!$F$2:$F$5,MATCH($A40,'Jogos do Dia'!$B$2:$B$5,0)))</f>
        <v>#N/A</v>
      </c>
      <c r="AI40" s="4" t="e">
        <f>IF((INDEX('Jogos do Dia'!$A$2:$A$5,MATCH($A40,'Jogos do Dia'!$B$2:$B$5,0))-B40)&lt;=10,100%,IF((INDEX('Jogos do Dia'!$A$2:$A$5,MATCH($A40,'Jogos do Dia'!$B$2:$B$5,0))-B40)&lt;=20,85%,IF((INDEX('Jogos do Dia'!$A$2:$A$5,MATCH($A40,'Jogos do Dia'!$B$2:$B$5,0))-B40)&lt;=30,70%,IF((INDEX('Jogos do Dia'!$A$2:$A$5,MATCH($A40,'Jogos do Dia'!$B$2:$B$5,0))-B40)&lt;=45,50%,IF((INDEX('Jogos do Dia'!$A$2:$A$5,MATCH($A40,'Jogos do Dia'!$B$2:$B$5,0))-B40)&lt;=90,30%,IF((INDEX('Jogos do Dia'!$A$2:$A$5,MATCH($A40,'Jogos do Dia'!$B$2:$B$5,0))-B40)&lt;=180,15%,0%))))))</f>
        <v>#N/A</v>
      </c>
      <c r="AK40" s="11" t="e">
        <f t="shared" si="3"/>
        <v>#N/A</v>
      </c>
    </row>
    <row r="41" spans="23:37" ht="14.25" customHeight="1" x14ac:dyDescent="0.4">
      <c r="W41" s="1" t="str">
        <f t="shared" si="4"/>
        <v>Não</v>
      </c>
      <c r="X41" s="1">
        <f t="shared" si="5"/>
        <v>0</v>
      </c>
      <c r="Y41" s="5" t="str">
        <f t="shared" si="6"/>
        <v>E</v>
      </c>
      <c r="Z41" s="4"/>
      <c r="AG41" s="4" t="e">
        <f>1-(ABS(AB41-INDEX('Jogos do Dia'!$G$2:$G$5,MATCH($A41,'Jogos do Dia'!$B$2:$B$5,0)))+ABS(AC41-INDEX('Jogos do Dia'!$H$2:$H$5,MATCH($A41,'Jogos do Dia'!$B$2:$B$5,0)))+ABS(AD41-INDEX('Jogos do Dia'!$I$2:$I$5,MATCH($A41,'Jogos do Dia'!$B$2:$B$5,0)))+ABS(AE41-INDEX('Jogos do Dia'!$J$2:$J$5,MATCH($A41,'Jogos do Dia'!$B$2:$B$5,0)))+ABS(AF41-INDEX('Jogos do Dia'!$K$2:$K$5,MATCH($A41,'Jogos do Dia'!$B$2:$B$5,0))))/20</f>
        <v>#N/A</v>
      </c>
      <c r="AH41" s="4" t="e">
        <f>1-ABS(Z41-INDEX('Jogos do Dia'!$F$2:$F$5,MATCH($A41,'Jogos do Dia'!$B$2:$B$5,0)))</f>
        <v>#N/A</v>
      </c>
      <c r="AI41" s="4" t="e">
        <f>IF((INDEX('Jogos do Dia'!$A$2:$A$5,MATCH($A41,'Jogos do Dia'!$B$2:$B$5,0))-B41)&lt;=10,100%,IF((INDEX('Jogos do Dia'!$A$2:$A$5,MATCH($A41,'Jogos do Dia'!$B$2:$B$5,0))-B41)&lt;=20,85%,IF((INDEX('Jogos do Dia'!$A$2:$A$5,MATCH($A41,'Jogos do Dia'!$B$2:$B$5,0))-B41)&lt;=30,70%,IF((INDEX('Jogos do Dia'!$A$2:$A$5,MATCH($A41,'Jogos do Dia'!$B$2:$B$5,0))-B41)&lt;=45,50%,IF((INDEX('Jogos do Dia'!$A$2:$A$5,MATCH($A41,'Jogos do Dia'!$B$2:$B$5,0))-B41)&lt;=90,30%,IF((INDEX('Jogos do Dia'!$A$2:$A$5,MATCH($A41,'Jogos do Dia'!$B$2:$B$5,0))-B41)&lt;=180,15%,0%))))))</f>
        <v>#N/A</v>
      </c>
      <c r="AK41" s="11" t="e">
        <f t="shared" si="3"/>
        <v>#N/A</v>
      </c>
    </row>
    <row r="42" spans="23:37" ht="14.25" customHeight="1" x14ac:dyDescent="0.4">
      <c r="W42" s="1" t="str">
        <f t="shared" si="4"/>
        <v>Não</v>
      </c>
      <c r="X42" s="1">
        <f t="shared" si="5"/>
        <v>0</v>
      </c>
      <c r="Y42" s="3" t="str">
        <f t="shared" si="6"/>
        <v>E</v>
      </c>
      <c r="Z42" s="4"/>
      <c r="AG42" s="4" t="e">
        <f>1-(ABS(AB42-INDEX('Jogos do Dia'!$G$2:$G$5,MATCH($A42,'Jogos do Dia'!$B$2:$B$5,0)))+ABS(AC42-INDEX('Jogos do Dia'!$H$2:$H$5,MATCH($A42,'Jogos do Dia'!$B$2:$B$5,0)))+ABS(AD42-INDEX('Jogos do Dia'!$I$2:$I$5,MATCH($A42,'Jogos do Dia'!$B$2:$B$5,0)))+ABS(AE42-INDEX('Jogos do Dia'!$J$2:$J$5,MATCH($A42,'Jogos do Dia'!$B$2:$B$5,0)))+ABS(AF42-INDEX('Jogos do Dia'!$K$2:$K$5,MATCH($A42,'Jogos do Dia'!$B$2:$B$5,0))))/20</f>
        <v>#N/A</v>
      </c>
      <c r="AH42" s="4" t="e">
        <f>1-ABS(Z42-INDEX('Jogos do Dia'!$F$2:$F$5,MATCH($A42,'Jogos do Dia'!$B$2:$B$5,0)))</f>
        <v>#N/A</v>
      </c>
      <c r="AI42" s="4" t="e">
        <f>IF((INDEX('Jogos do Dia'!$A$2:$A$5,MATCH($A42,'Jogos do Dia'!$B$2:$B$5,0))-B42)&lt;=10,100%,IF((INDEX('Jogos do Dia'!$A$2:$A$5,MATCH($A42,'Jogos do Dia'!$B$2:$B$5,0))-B42)&lt;=20,85%,IF((INDEX('Jogos do Dia'!$A$2:$A$5,MATCH($A42,'Jogos do Dia'!$B$2:$B$5,0))-B42)&lt;=30,70%,IF((INDEX('Jogos do Dia'!$A$2:$A$5,MATCH($A42,'Jogos do Dia'!$B$2:$B$5,0))-B42)&lt;=45,50%,IF((INDEX('Jogos do Dia'!$A$2:$A$5,MATCH($A42,'Jogos do Dia'!$B$2:$B$5,0))-B42)&lt;=90,30%,IF((INDEX('Jogos do Dia'!$A$2:$A$5,MATCH($A42,'Jogos do Dia'!$B$2:$B$5,0))-B42)&lt;=180,15%,0%))))))</f>
        <v>#N/A</v>
      </c>
      <c r="AK42" s="11" t="e">
        <f t="shared" si="3"/>
        <v>#N/A</v>
      </c>
    </row>
    <row r="43" spans="23:37" ht="14.25" customHeight="1" x14ac:dyDescent="0.4">
      <c r="W43" s="1" t="str">
        <f t="shared" si="4"/>
        <v>Não</v>
      </c>
      <c r="X43" s="1">
        <f t="shared" si="5"/>
        <v>0</v>
      </c>
      <c r="Y43" s="5" t="str">
        <f t="shared" si="6"/>
        <v>E</v>
      </c>
      <c r="Z43" s="4"/>
      <c r="AG43" s="4" t="e">
        <f>1-(ABS(AB43-INDEX('Jogos do Dia'!$G$2:$G$5,MATCH($A43,'Jogos do Dia'!$B$2:$B$5,0)))+ABS(AC43-INDEX('Jogos do Dia'!$H$2:$H$5,MATCH($A43,'Jogos do Dia'!$B$2:$B$5,0)))+ABS(AD43-INDEX('Jogos do Dia'!$I$2:$I$5,MATCH($A43,'Jogos do Dia'!$B$2:$B$5,0)))+ABS(AE43-INDEX('Jogos do Dia'!$J$2:$J$5,MATCH($A43,'Jogos do Dia'!$B$2:$B$5,0)))+ABS(AF43-INDEX('Jogos do Dia'!$K$2:$K$5,MATCH($A43,'Jogos do Dia'!$B$2:$B$5,0))))/20</f>
        <v>#N/A</v>
      </c>
      <c r="AH43" s="4" t="e">
        <f>1-ABS(Z43-INDEX('Jogos do Dia'!$F$2:$F$5,MATCH($A43,'Jogos do Dia'!$B$2:$B$5,0)))</f>
        <v>#N/A</v>
      </c>
      <c r="AI43" s="4" t="e">
        <f>IF((INDEX('Jogos do Dia'!$A$2:$A$5,MATCH($A43,'Jogos do Dia'!$B$2:$B$5,0))-B43)&lt;=10,100%,IF((INDEX('Jogos do Dia'!$A$2:$A$5,MATCH($A43,'Jogos do Dia'!$B$2:$B$5,0))-B43)&lt;=20,85%,IF((INDEX('Jogos do Dia'!$A$2:$A$5,MATCH($A43,'Jogos do Dia'!$B$2:$B$5,0))-B43)&lt;=30,70%,IF((INDEX('Jogos do Dia'!$A$2:$A$5,MATCH($A43,'Jogos do Dia'!$B$2:$B$5,0))-B43)&lt;=45,50%,IF((INDEX('Jogos do Dia'!$A$2:$A$5,MATCH($A43,'Jogos do Dia'!$B$2:$B$5,0))-B43)&lt;=90,30%,IF((INDEX('Jogos do Dia'!$A$2:$A$5,MATCH($A43,'Jogos do Dia'!$B$2:$B$5,0))-B43)&lt;=180,15%,0%))))))</f>
        <v>#N/A</v>
      </c>
      <c r="AK43" s="11" t="e">
        <f t="shared" si="3"/>
        <v>#N/A</v>
      </c>
    </row>
    <row r="44" spans="23:37" ht="14.25" customHeight="1" x14ac:dyDescent="0.4">
      <c r="W44" s="1" t="str">
        <f t="shared" si="4"/>
        <v>Não</v>
      </c>
      <c r="X44" s="1">
        <f t="shared" si="5"/>
        <v>0</v>
      </c>
      <c r="Y44" s="3" t="str">
        <f t="shared" si="6"/>
        <v>E</v>
      </c>
      <c r="Z44" s="4"/>
      <c r="AG44" s="4" t="e">
        <f>1-(ABS(AB44-INDEX('Jogos do Dia'!$G$2:$G$5,MATCH($A44,'Jogos do Dia'!$B$2:$B$5,0)))+ABS(AC44-INDEX('Jogos do Dia'!$H$2:$H$5,MATCH($A44,'Jogos do Dia'!$B$2:$B$5,0)))+ABS(AD44-INDEX('Jogos do Dia'!$I$2:$I$5,MATCH($A44,'Jogos do Dia'!$B$2:$B$5,0)))+ABS(AE44-INDEX('Jogos do Dia'!$J$2:$J$5,MATCH($A44,'Jogos do Dia'!$B$2:$B$5,0)))+ABS(AF44-INDEX('Jogos do Dia'!$K$2:$K$5,MATCH($A44,'Jogos do Dia'!$B$2:$B$5,0))))/20</f>
        <v>#N/A</v>
      </c>
      <c r="AH44" s="4" t="e">
        <f>1-ABS(Z44-INDEX('Jogos do Dia'!$F$2:$F$5,MATCH($A44,'Jogos do Dia'!$B$2:$B$5,0)))</f>
        <v>#N/A</v>
      </c>
      <c r="AI44" s="4" t="e">
        <f>IF((INDEX('Jogos do Dia'!$A$2:$A$5,MATCH($A44,'Jogos do Dia'!$B$2:$B$5,0))-B44)&lt;=10,100%,IF((INDEX('Jogos do Dia'!$A$2:$A$5,MATCH($A44,'Jogos do Dia'!$B$2:$B$5,0))-B44)&lt;=20,85%,IF((INDEX('Jogos do Dia'!$A$2:$A$5,MATCH($A44,'Jogos do Dia'!$B$2:$B$5,0))-B44)&lt;=30,70%,IF((INDEX('Jogos do Dia'!$A$2:$A$5,MATCH($A44,'Jogos do Dia'!$B$2:$B$5,0))-B44)&lt;=45,50%,IF((INDEX('Jogos do Dia'!$A$2:$A$5,MATCH($A44,'Jogos do Dia'!$B$2:$B$5,0))-B44)&lt;=90,30%,IF((INDEX('Jogos do Dia'!$A$2:$A$5,MATCH($A44,'Jogos do Dia'!$B$2:$B$5,0))-B44)&lt;=180,15%,0%))))))</f>
        <v>#N/A</v>
      </c>
      <c r="AK44" s="11" t="e">
        <f t="shared" si="3"/>
        <v>#N/A</v>
      </c>
    </row>
    <row r="45" spans="23:37" ht="14.25" customHeight="1" x14ac:dyDescent="0.4">
      <c r="W45" s="1" t="str">
        <f t="shared" si="4"/>
        <v>Não</v>
      </c>
      <c r="X45" s="1">
        <f t="shared" si="5"/>
        <v>0</v>
      </c>
      <c r="Y45" s="3" t="str">
        <f t="shared" si="6"/>
        <v>E</v>
      </c>
      <c r="Z45" s="4"/>
      <c r="AG45" s="4" t="e">
        <f>1-(ABS(AB45-INDEX('Jogos do Dia'!$G$2:$G$5,MATCH($A45,'Jogos do Dia'!$B$2:$B$5,0)))+ABS(AC45-INDEX('Jogos do Dia'!$H$2:$H$5,MATCH($A45,'Jogos do Dia'!$B$2:$B$5,0)))+ABS(AD45-INDEX('Jogos do Dia'!$I$2:$I$5,MATCH($A45,'Jogos do Dia'!$B$2:$B$5,0)))+ABS(AE45-INDEX('Jogos do Dia'!$J$2:$J$5,MATCH($A45,'Jogos do Dia'!$B$2:$B$5,0)))+ABS(AF45-INDEX('Jogos do Dia'!$K$2:$K$5,MATCH($A45,'Jogos do Dia'!$B$2:$B$5,0))))/20</f>
        <v>#N/A</v>
      </c>
      <c r="AH45" s="4" t="e">
        <f>1-ABS(Z45-INDEX('Jogos do Dia'!$F$2:$F$5,MATCH($A45,'Jogos do Dia'!$B$2:$B$5,0)))</f>
        <v>#N/A</v>
      </c>
      <c r="AI45" s="4" t="e">
        <f>IF((INDEX('Jogos do Dia'!$A$2:$A$5,MATCH($A45,'Jogos do Dia'!$B$2:$B$5,0))-B45)&lt;=10,100%,IF((INDEX('Jogos do Dia'!$A$2:$A$5,MATCH($A45,'Jogos do Dia'!$B$2:$B$5,0))-B45)&lt;=20,85%,IF((INDEX('Jogos do Dia'!$A$2:$A$5,MATCH($A45,'Jogos do Dia'!$B$2:$B$5,0))-B45)&lt;=30,70%,IF((INDEX('Jogos do Dia'!$A$2:$A$5,MATCH($A45,'Jogos do Dia'!$B$2:$B$5,0))-B45)&lt;=45,50%,IF((INDEX('Jogos do Dia'!$A$2:$A$5,MATCH($A45,'Jogos do Dia'!$B$2:$B$5,0))-B45)&lt;=90,30%,IF((INDEX('Jogos do Dia'!$A$2:$A$5,MATCH($A45,'Jogos do Dia'!$B$2:$B$5,0))-B45)&lt;=180,15%,0%))))))</f>
        <v>#N/A</v>
      </c>
      <c r="AK45" s="11" t="e">
        <f t="shared" si="3"/>
        <v>#N/A</v>
      </c>
    </row>
    <row r="46" spans="23:37" ht="14.25" customHeight="1" x14ac:dyDescent="0.4">
      <c r="W46" s="1" t="str">
        <f t="shared" si="4"/>
        <v>Não</v>
      </c>
      <c r="X46" s="1">
        <f t="shared" si="5"/>
        <v>0</v>
      </c>
      <c r="Y46" s="3" t="str">
        <f t="shared" si="6"/>
        <v>E</v>
      </c>
      <c r="Z46" s="4"/>
      <c r="AG46" s="4" t="e">
        <f>1-(ABS(AB46-INDEX('Jogos do Dia'!$G$2:$G$5,MATCH($A46,'Jogos do Dia'!$B$2:$B$5,0)))+ABS(AC46-INDEX('Jogos do Dia'!$H$2:$H$5,MATCH($A46,'Jogos do Dia'!$B$2:$B$5,0)))+ABS(AD46-INDEX('Jogos do Dia'!$I$2:$I$5,MATCH($A46,'Jogos do Dia'!$B$2:$B$5,0)))+ABS(AE46-INDEX('Jogos do Dia'!$J$2:$J$5,MATCH($A46,'Jogos do Dia'!$B$2:$B$5,0)))+ABS(AF46-INDEX('Jogos do Dia'!$K$2:$K$5,MATCH($A46,'Jogos do Dia'!$B$2:$B$5,0))))/20</f>
        <v>#N/A</v>
      </c>
      <c r="AH46" s="4" t="e">
        <f>1-ABS(Z46-INDEX('Jogos do Dia'!$F$2:$F$5,MATCH($A46,'Jogos do Dia'!$B$2:$B$5,0)))</f>
        <v>#N/A</v>
      </c>
      <c r="AI46" s="4" t="e">
        <f>IF((INDEX('Jogos do Dia'!$A$2:$A$5,MATCH($A46,'Jogos do Dia'!$B$2:$B$5,0))-B46)&lt;=10,100%,IF((INDEX('Jogos do Dia'!$A$2:$A$5,MATCH($A46,'Jogos do Dia'!$B$2:$B$5,0))-B46)&lt;=20,85%,IF((INDEX('Jogos do Dia'!$A$2:$A$5,MATCH($A46,'Jogos do Dia'!$B$2:$B$5,0))-B46)&lt;=30,70%,IF((INDEX('Jogos do Dia'!$A$2:$A$5,MATCH($A46,'Jogos do Dia'!$B$2:$B$5,0))-B46)&lt;=45,50%,IF((INDEX('Jogos do Dia'!$A$2:$A$5,MATCH($A46,'Jogos do Dia'!$B$2:$B$5,0))-B46)&lt;=90,30%,IF((INDEX('Jogos do Dia'!$A$2:$A$5,MATCH($A46,'Jogos do Dia'!$B$2:$B$5,0))-B46)&lt;=180,15%,0%))))))</f>
        <v>#N/A</v>
      </c>
      <c r="AK46" s="11" t="e">
        <f t="shared" si="3"/>
        <v>#N/A</v>
      </c>
    </row>
    <row r="47" spans="23:37" ht="14.25" customHeight="1" x14ac:dyDescent="0.4">
      <c r="W47" s="1" t="str">
        <f t="shared" si="4"/>
        <v>Não</v>
      </c>
      <c r="X47" s="1">
        <f t="shared" si="5"/>
        <v>0</v>
      </c>
      <c r="Y47" s="3" t="str">
        <f t="shared" si="6"/>
        <v>E</v>
      </c>
      <c r="Z47" s="4"/>
      <c r="AG47" s="4" t="e">
        <f>1-(ABS(AB47-INDEX('Jogos do Dia'!$G$2:$G$5,MATCH($A47,'Jogos do Dia'!$B$2:$B$5,0)))+ABS(AC47-INDEX('Jogos do Dia'!$H$2:$H$5,MATCH($A47,'Jogos do Dia'!$B$2:$B$5,0)))+ABS(AD47-INDEX('Jogos do Dia'!$I$2:$I$5,MATCH($A47,'Jogos do Dia'!$B$2:$B$5,0)))+ABS(AE47-INDEX('Jogos do Dia'!$J$2:$J$5,MATCH($A47,'Jogos do Dia'!$B$2:$B$5,0)))+ABS(AF47-INDEX('Jogos do Dia'!$K$2:$K$5,MATCH($A47,'Jogos do Dia'!$B$2:$B$5,0))))/20</f>
        <v>#N/A</v>
      </c>
      <c r="AH47" s="4" t="e">
        <f>1-ABS(Z47-INDEX('Jogos do Dia'!$F$2:$F$5,MATCH($A47,'Jogos do Dia'!$B$2:$B$5,0)))</f>
        <v>#N/A</v>
      </c>
      <c r="AI47" s="4" t="e">
        <f>IF((INDEX('Jogos do Dia'!$A$2:$A$5,MATCH($A47,'Jogos do Dia'!$B$2:$B$5,0))-B47)&lt;=10,100%,IF((INDEX('Jogos do Dia'!$A$2:$A$5,MATCH($A47,'Jogos do Dia'!$B$2:$B$5,0))-B47)&lt;=20,85%,IF((INDEX('Jogos do Dia'!$A$2:$A$5,MATCH($A47,'Jogos do Dia'!$B$2:$B$5,0))-B47)&lt;=30,70%,IF((INDEX('Jogos do Dia'!$A$2:$A$5,MATCH($A47,'Jogos do Dia'!$B$2:$B$5,0))-B47)&lt;=45,50%,IF((INDEX('Jogos do Dia'!$A$2:$A$5,MATCH($A47,'Jogos do Dia'!$B$2:$B$5,0))-B47)&lt;=90,30%,IF((INDEX('Jogos do Dia'!$A$2:$A$5,MATCH($A47,'Jogos do Dia'!$B$2:$B$5,0))-B47)&lt;=180,15%,0%))))))</f>
        <v>#N/A</v>
      </c>
      <c r="AK47" s="11" t="e">
        <f t="shared" si="3"/>
        <v>#N/A</v>
      </c>
    </row>
    <row r="48" spans="23:37" ht="14.25" customHeight="1" x14ac:dyDescent="0.4">
      <c r="W48" s="1" t="str">
        <f t="shared" si="4"/>
        <v>Não</v>
      </c>
      <c r="X48" s="1">
        <f t="shared" si="5"/>
        <v>0</v>
      </c>
      <c r="Y48" s="6" t="str">
        <f t="shared" si="6"/>
        <v>E</v>
      </c>
      <c r="Z48" s="4"/>
      <c r="AG48" s="4" t="e">
        <f>1-(ABS(AB48-INDEX('Jogos do Dia'!$G$2:$G$5,MATCH($A48,'Jogos do Dia'!$B$2:$B$5,0)))+ABS(AC48-INDEX('Jogos do Dia'!$H$2:$H$5,MATCH($A48,'Jogos do Dia'!$B$2:$B$5,0)))+ABS(AD48-INDEX('Jogos do Dia'!$I$2:$I$5,MATCH($A48,'Jogos do Dia'!$B$2:$B$5,0)))+ABS(AE48-INDEX('Jogos do Dia'!$J$2:$J$5,MATCH($A48,'Jogos do Dia'!$B$2:$B$5,0)))+ABS(AF48-INDEX('Jogos do Dia'!$K$2:$K$5,MATCH($A48,'Jogos do Dia'!$B$2:$B$5,0))))/20</f>
        <v>#N/A</v>
      </c>
      <c r="AH48" s="4" t="e">
        <f>1-ABS(Z48-INDEX('Jogos do Dia'!$F$2:$F$5,MATCH($A48,'Jogos do Dia'!$B$2:$B$5,0)))</f>
        <v>#N/A</v>
      </c>
      <c r="AI48" s="4" t="e">
        <f>IF((INDEX('Jogos do Dia'!$A$2:$A$5,MATCH($A48,'Jogos do Dia'!$B$2:$B$5,0))-B48)&lt;=10,100%,IF((INDEX('Jogos do Dia'!$A$2:$A$5,MATCH($A48,'Jogos do Dia'!$B$2:$B$5,0))-B48)&lt;=20,85%,IF((INDEX('Jogos do Dia'!$A$2:$A$5,MATCH($A48,'Jogos do Dia'!$B$2:$B$5,0))-B48)&lt;=30,70%,IF((INDEX('Jogos do Dia'!$A$2:$A$5,MATCH($A48,'Jogos do Dia'!$B$2:$B$5,0))-B48)&lt;=45,50%,IF((INDEX('Jogos do Dia'!$A$2:$A$5,MATCH($A48,'Jogos do Dia'!$B$2:$B$5,0))-B48)&lt;=90,30%,IF((INDEX('Jogos do Dia'!$A$2:$A$5,MATCH($A48,'Jogos do Dia'!$B$2:$B$5,0))-B48)&lt;=180,15%,0%))))))</f>
        <v>#N/A</v>
      </c>
      <c r="AK48" s="11" t="e">
        <f t="shared" si="3"/>
        <v>#N/A</v>
      </c>
    </row>
    <row r="49" spans="23:37" ht="14.25" customHeight="1" x14ac:dyDescent="0.4">
      <c r="W49" s="1" t="str">
        <f t="shared" si="4"/>
        <v>Não</v>
      </c>
      <c r="X49" s="1">
        <f t="shared" si="5"/>
        <v>0</v>
      </c>
      <c r="Y49" s="3" t="str">
        <f t="shared" si="6"/>
        <v>E</v>
      </c>
      <c r="Z49" s="4"/>
      <c r="AG49" s="4" t="e">
        <f>1-(ABS(AB49-INDEX('Jogos do Dia'!$G$2:$G$5,MATCH($A49,'Jogos do Dia'!$B$2:$B$5,0)))+ABS(AC49-INDEX('Jogos do Dia'!$H$2:$H$5,MATCH($A49,'Jogos do Dia'!$B$2:$B$5,0)))+ABS(AD49-INDEX('Jogos do Dia'!$I$2:$I$5,MATCH($A49,'Jogos do Dia'!$B$2:$B$5,0)))+ABS(AE49-INDEX('Jogos do Dia'!$J$2:$J$5,MATCH($A49,'Jogos do Dia'!$B$2:$B$5,0)))+ABS(AF49-INDEX('Jogos do Dia'!$K$2:$K$5,MATCH($A49,'Jogos do Dia'!$B$2:$B$5,0))))/20</f>
        <v>#N/A</v>
      </c>
      <c r="AH49" s="4" t="e">
        <f>1-ABS(Z49-INDEX('Jogos do Dia'!$F$2:$F$5,MATCH($A49,'Jogos do Dia'!$B$2:$B$5,0)))</f>
        <v>#N/A</v>
      </c>
      <c r="AI49" s="4" t="e">
        <f>IF((INDEX('Jogos do Dia'!$A$2:$A$5,MATCH($A49,'Jogos do Dia'!$B$2:$B$5,0))-B49)&lt;=10,100%,IF((INDEX('Jogos do Dia'!$A$2:$A$5,MATCH($A49,'Jogos do Dia'!$B$2:$B$5,0))-B49)&lt;=20,85%,IF((INDEX('Jogos do Dia'!$A$2:$A$5,MATCH($A49,'Jogos do Dia'!$B$2:$B$5,0))-B49)&lt;=30,70%,IF((INDEX('Jogos do Dia'!$A$2:$A$5,MATCH($A49,'Jogos do Dia'!$B$2:$B$5,0))-B49)&lt;=45,50%,IF((INDEX('Jogos do Dia'!$A$2:$A$5,MATCH($A49,'Jogos do Dia'!$B$2:$B$5,0))-B49)&lt;=90,30%,IF((INDEX('Jogos do Dia'!$A$2:$A$5,MATCH($A49,'Jogos do Dia'!$B$2:$B$5,0))-B49)&lt;=180,15%,0%))))))</f>
        <v>#N/A</v>
      </c>
      <c r="AK49" s="11" t="e">
        <f t="shared" si="3"/>
        <v>#N/A</v>
      </c>
    </row>
    <row r="50" spans="23:37" ht="14.25" customHeight="1" x14ac:dyDescent="0.4">
      <c r="W50" s="1" t="str">
        <f t="shared" si="4"/>
        <v>Não</v>
      </c>
      <c r="X50" s="1">
        <f t="shared" si="5"/>
        <v>0</v>
      </c>
      <c r="Y50" s="3" t="str">
        <f t="shared" si="6"/>
        <v>E</v>
      </c>
      <c r="Z50" s="4"/>
      <c r="AG50" s="4" t="e">
        <f>1-(ABS(AB50-INDEX('Jogos do Dia'!$G$2:$G$5,MATCH($A50,'Jogos do Dia'!$B$2:$B$5,0)))+ABS(AC50-INDEX('Jogos do Dia'!$H$2:$H$5,MATCH($A50,'Jogos do Dia'!$B$2:$B$5,0)))+ABS(AD50-INDEX('Jogos do Dia'!$I$2:$I$5,MATCH($A50,'Jogos do Dia'!$B$2:$B$5,0)))+ABS(AE50-INDEX('Jogos do Dia'!$J$2:$J$5,MATCH($A50,'Jogos do Dia'!$B$2:$B$5,0)))+ABS(AF50-INDEX('Jogos do Dia'!$K$2:$K$5,MATCH($A50,'Jogos do Dia'!$B$2:$B$5,0))))/20</f>
        <v>#N/A</v>
      </c>
      <c r="AH50" s="4" t="e">
        <f>1-ABS(Z50-INDEX('Jogos do Dia'!$F$2:$F$5,MATCH($A50,'Jogos do Dia'!$B$2:$B$5,0)))</f>
        <v>#N/A</v>
      </c>
      <c r="AI50" s="4" t="e">
        <f>IF((INDEX('Jogos do Dia'!$A$2:$A$5,MATCH($A50,'Jogos do Dia'!$B$2:$B$5,0))-B50)&lt;=10,100%,IF((INDEX('Jogos do Dia'!$A$2:$A$5,MATCH($A50,'Jogos do Dia'!$B$2:$B$5,0))-B50)&lt;=20,85%,IF((INDEX('Jogos do Dia'!$A$2:$A$5,MATCH($A50,'Jogos do Dia'!$B$2:$B$5,0))-B50)&lt;=30,70%,IF((INDEX('Jogos do Dia'!$A$2:$A$5,MATCH($A50,'Jogos do Dia'!$B$2:$B$5,0))-B50)&lt;=45,50%,IF((INDEX('Jogos do Dia'!$A$2:$A$5,MATCH($A50,'Jogos do Dia'!$B$2:$B$5,0))-B50)&lt;=90,30%,IF((INDEX('Jogos do Dia'!$A$2:$A$5,MATCH($A50,'Jogos do Dia'!$B$2:$B$5,0))-B50)&lt;=180,15%,0%))))))</f>
        <v>#N/A</v>
      </c>
      <c r="AK50" s="11" t="e">
        <f t="shared" si="3"/>
        <v>#N/A</v>
      </c>
    </row>
    <row r="51" spans="23:37" ht="14.25" customHeight="1" x14ac:dyDescent="0.4">
      <c r="W51" s="1" t="str">
        <f t="shared" si="4"/>
        <v>Não</v>
      </c>
      <c r="X51" s="1">
        <f t="shared" si="5"/>
        <v>0</v>
      </c>
      <c r="Y51" s="6" t="str">
        <f t="shared" si="6"/>
        <v>E</v>
      </c>
      <c r="Z51" s="4"/>
      <c r="AG51" s="4" t="e">
        <f>1-(ABS(AB51-INDEX('Jogos do Dia'!$G$2:$G$5,MATCH($A51,'Jogos do Dia'!$B$2:$B$5,0)))+ABS(AC51-INDEX('Jogos do Dia'!$H$2:$H$5,MATCH($A51,'Jogos do Dia'!$B$2:$B$5,0)))+ABS(AD51-INDEX('Jogos do Dia'!$I$2:$I$5,MATCH($A51,'Jogos do Dia'!$B$2:$B$5,0)))+ABS(AE51-INDEX('Jogos do Dia'!$J$2:$J$5,MATCH($A51,'Jogos do Dia'!$B$2:$B$5,0)))+ABS(AF51-INDEX('Jogos do Dia'!$K$2:$K$5,MATCH($A51,'Jogos do Dia'!$B$2:$B$5,0))))/20</f>
        <v>#N/A</v>
      </c>
      <c r="AH51" s="4" t="e">
        <f>1-ABS(Z51-INDEX('Jogos do Dia'!$F$2:$F$5,MATCH($A51,'Jogos do Dia'!$B$2:$B$5,0)))</f>
        <v>#N/A</v>
      </c>
      <c r="AI51" s="4" t="e">
        <f>IF((INDEX('Jogos do Dia'!$A$2:$A$5,MATCH($A51,'Jogos do Dia'!$B$2:$B$5,0))-B51)&lt;=10,100%,IF((INDEX('Jogos do Dia'!$A$2:$A$5,MATCH($A51,'Jogos do Dia'!$B$2:$B$5,0))-B51)&lt;=20,85%,IF((INDEX('Jogos do Dia'!$A$2:$A$5,MATCH($A51,'Jogos do Dia'!$B$2:$B$5,0))-B51)&lt;=30,70%,IF((INDEX('Jogos do Dia'!$A$2:$A$5,MATCH($A51,'Jogos do Dia'!$B$2:$B$5,0))-B51)&lt;=45,50%,IF((INDEX('Jogos do Dia'!$A$2:$A$5,MATCH($A51,'Jogos do Dia'!$B$2:$B$5,0))-B51)&lt;=90,30%,IF((INDEX('Jogos do Dia'!$A$2:$A$5,MATCH($A51,'Jogos do Dia'!$B$2:$B$5,0))-B51)&lt;=180,15%,0%))))))</f>
        <v>#N/A</v>
      </c>
      <c r="AK51" s="11" t="e">
        <f t="shared" si="3"/>
        <v>#N/A</v>
      </c>
    </row>
    <row r="52" spans="23:37" ht="14.25" customHeight="1" x14ac:dyDescent="0.4">
      <c r="W52" s="1" t="str">
        <f t="shared" si="4"/>
        <v>Não</v>
      </c>
      <c r="X52" s="1">
        <f t="shared" si="5"/>
        <v>0</v>
      </c>
      <c r="Y52" s="3" t="str">
        <f t="shared" si="6"/>
        <v>E</v>
      </c>
      <c r="Z52" s="4"/>
      <c r="AG52" s="4" t="e">
        <f>1-(ABS(AB52-INDEX('Jogos do Dia'!$G$2:$G$5,MATCH($A52,'Jogos do Dia'!$B$2:$B$5,0)))+ABS(AC52-INDEX('Jogos do Dia'!$H$2:$H$5,MATCH($A52,'Jogos do Dia'!$B$2:$B$5,0)))+ABS(AD52-INDEX('Jogos do Dia'!$I$2:$I$5,MATCH($A52,'Jogos do Dia'!$B$2:$B$5,0)))+ABS(AE52-INDEX('Jogos do Dia'!$J$2:$J$5,MATCH($A52,'Jogos do Dia'!$B$2:$B$5,0)))+ABS(AF52-INDEX('Jogos do Dia'!$K$2:$K$5,MATCH($A52,'Jogos do Dia'!$B$2:$B$5,0))))/20</f>
        <v>#N/A</v>
      </c>
      <c r="AH52" s="4" t="e">
        <f>1-ABS(Z52-INDEX('Jogos do Dia'!$F$2:$F$5,MATCH($A52,'Jogos do Dia'!$B$2:$B$5,0)))</f>
        <v>#N/A</v>
      </c>
      <c r="AI52" s="4" t="e">
        <f>IF((INDEX('Jogos do Dia'!$A$2:$A$5,MATCH($A52,'Jogos do Dia'!$B$2:$B$5,0))-B52)&lt;=10,100%,IF((INDEX('Jogos do Dia'!$A$2:$A$5,MATCH($A52,'Jogos do Dia'!$B$2:$B$5,0))-B52)&lt;=20,85%,IF((INDEX('Jogos do Dia'!$A$2:$A$5,MATCH($A52,'Jogos do Dia'!$B$2:$B$5,0))-B52)&lt;=30,70%,IF((INDEX('Jogos do Dia'!$A$2:$A$5,MATCH($A52,'Jogos do Dia'!$B$2:$B$5,0))-B52)&lt;=45,50%,IF((INDEX('Jogos do Dia'!$A$2:$A$5,MATCH($A52,'Jogos do Dia'!$B$2:$B$5,0))-B52)&lt;=90,30%,IF((INDEX('Jogos do Dia'!$A$2:$A$5,MATCH($A52,'Jogos do Dia'!$B$2:$B$5,0))-B52)&lt;=180,15%,0%))))))</f>
        <v>#N/A</v>
      </c>
      <c r="AK52" s="11" t="e">
        <f t="shared" si="3"/>
        <v>#N/A</v>
      </c>
    </row>
    <row r="53" spans="23:37" ht="14.25" customHeight="1" x14ac:dyDescent="0.4">
      <c r="W53" s="1" t="str">
        <f t="shared" si="4"/>
        <v>Não</v>
      </c>
      <c r="X53" s="1">
        <f t="shared" si="5"/>
        <v>0</v>
      </c>
      <c r="Y53" s="6" t="str">
        <f t="shared" si="6"/>
        <v>E</v>
      </c>
      <c r="Z53" s="4"/>
      <c r="AG53" s="4" t="e">
        <f>1-(ABS(AB53-INDEX('Jogos do Dia'!$G$2:$G$5,MATCH($A53,'Jogos do Dia'!$B$2:$B$5,0)))+ABS(AC53-INDEX('Jogos do Dia'!$H$2:$H$5,MATCH($A53,'Jogos do Dia'!$B$2:$B$5,0)))+ABS(AD53-INDEX('Jogos do Dia'!$I$2:$I$5,MATCH($A53,'Jogos do Dia'!$B$2:$B$5,0)))+ABS(AE53-INDEX('Jogos do Dia'!$J$2:$J$5,MATCH($A53,'Jogos do Dia'!$B$2:$B$5,0)))+ABS(AF53-INDEX('Jogos do Dia'!$K$2:$K$5,MATCH($A53,'Jogos do Dia'!$B$2:$B$5,0))))/20</f>
        <v>#N/A</v>
      </c>
      <c r="AH53" s="4" t="e">
        <f>1-ABS(Z53-INDEX('Jogos do Dia'!$F$2:$F$5,MATCH($A53,'Jogos do Dia'!$B$2:$B$5,0)))</f>
        <v>#N/A</v>
      </c>
      <c r="AI53" s="4" t="e">
        <f>IF((INDEX('Jogos do Dia'!$A$2:$A$5,MATCH($A53,'Jogos do Dia'!$B$2:$B$5,0))-B53)&lt;=10,100%,IF((INDEX('Jogos do Dia'!$A$2:$A$5,MATCH($A53,'Jogos do Dia'!$B$2:$B$5,0))-B53)&lt;=20,85%,IF((INDEX('Jogos do Dia'!$A$2:$A$5,MATCH($A53,'Jogos do Dia'!$B$2:$B$5,0))-B53)&lt;=30,70%,IF((INDEX('Jogos do Dia'!$A$2:$A$5,MATCH($A53,'Jogos do Dia'!$B$2:$B$5,0))-B53)&lt;=45,50%,IF((INDEX('Jogos do Dia'!$A$2:$A$5,MATCH($A53,'Jogos do Dia'!$B$2:$B$5,0))-B53)&lt;=90,30%,IF((INDEX('Jogos do Dia'!$A$2:$A$5,MATCH($A53,'Jogos do Dia'!$B$2:$B$5,0))-B53)&lt;=180,15%,0%))))))</f>
        <v>#N/A</v>
      </c>
      <c r="AK53" s="11" t="e">
        <f t="shared" si="3"/>
        <v>#N/A</v>
      </c>
    </row>
    <row r="54" spans="23:37" ht="14.25" customHeight="1" x14ac:dyDescent="0.4">
      <c r="W54" s="1" t="str">
        <f t="shared" si="4"/>
        <v>Não</v>
      </c>
      <c r="X54" s="1">
        <f t="shared" si="5"/>
        <v>0</v>
      </c>
      <c r="Y54" s="6" t="str">
        <f t="shared" si="6"/>
        <v>E</v>
      </c>
      <c r="Z54" s="4"/>
      <c r="AG54" s="4" t="e">
        <f>1-(ABS(AB54-INDEX('Jogos do Dia'!$G$2:$G$5,MATCH($A54,'Jogos do Dia'!$B$2:$B$5,0)))+ABS(AC54-INDEX('Jogos do Dia'!$H$2:$H$5,MATCH($A54,'Jogos do Dia'!$B$2:$B$5,0)))+ABS(AD54-INDEX('Jogos do Dia'!$I$2:$I$5,MATCH($A54,'Jogos do Dia'!$B$2:$B$5,0)))+ABS(AE54-INDEX('Jogos do Dia'!$J$2:$J$5,MATCH($A54,'Jogos do Dia'!$B$2:$B$5,0)))+ABS(AF54-INDEX('Jogos do Dia'!$K$2:$K$5,MATCH($A54,'Jogos do Dia'!$B$2:$B$5,0))))/20</f>
        <v>#N/A</v>
      </c>
      <c r="AH54" s="4" t="e">
        <f>1-ABS(Z54-INDEX('Jogos do Dia'!$F$2:$F$5,MATCH($A54,'Jogos do Dia'!$B$2:$B$5,0)))</f>
        <v>#N/A</v>
      </c>
      <c r="AI54" s="4" t="e">
        <f>IF((INDEX('Jogos do Dia'!$A$2:$A$5,MATCH($A54,'Jogos do Dia'!$B$2:$B$5,0))-B54)&lt;=10,100%,IF((INDEX('Jogos do Dia'!$A$2:$A$5,MATCH($A54,'Jogos do Dia'!$B$2:$B$5,0))-B54)&lt;=20,85%,IF((INDEX('Jogos do Dia'!$A$2:$A$5,MATCH($A54,'Jogos do Dia'!$B$2:$B$5,0))-B54)&lt;=30,70%,IF((INDEX('Jogos do Dia'!$A$2:$A$5,MATCH($A54,'Jogos do Dia'!$B$2:$B$5,0))-B54)&lt;=45,50%,IF((INDEX('Jogos do Dia'!$A$2:$A$5,MATCH($A54,'Jogos do Dia'!$B$2:$B$5,0))-B54)&lt;=90,30%,IF((INDEX('Jogos do Dia'!$A$2:$A$5,MATCH($A54,'Jogos do Dia'!$B$2:$B$5,0))-B54)&lt;=180,15%,0%))))))</f>
        <v>#N/A</v>
      </c>
      <c r="AK54" s="11" t="e">
        <f t="shared" si="3"/>
        <v>#N/A</v>
      </c>
    </row>
    <row r="55" spans="23:37" ht="14.25" customHeight="1" x14ac:dyDescent="0.4">
      <c r="W55" s="1" t="str">
        <f t="shared" si="4"/>
        <v>Não</v>
      </c>
      <c r="X55" s="1">
        <f t="shared" si="5"/>
        <v>0</v>
      </c>
      <c r="Y55" s="3" t="str">
        <f t="shared" si="6"/>
        <v>E</v>
      </c>
      <c r="Z55" s="4"/>
      <c r="AG55" s="4" t="e">
        <f>1-(ABS(AB55-INDEX('Jogos do Dia'!$G$2:$G$5,MATCH($A55,'Jogos do Dia'!$B$2:$B$5,0)))+ABS(AC55-INDEX('Jogos do Dia'!$H$2:$H$5,MATCH($A55,'Jogos do Dia'!$B$2:$B$5,0)))+ABS(AD55-INDEX('Jogos do Dia'!$I$2:$I$5,MATCH($A55,'Jogos do Dia'!$B$2:$B$5,0)))+ABS(AE55-INDEX('Jogos do Dia'!$J$2:$J$5,MATCH($A55,'Jogos do Dia'!$B$2:$B$5,0)))+ABS(AF55-INDEX('Jogos do Dia'!$K$2:$K$5,MATCH($A55,'Jogos do Dia'!$B$2:$B$5,0))))/20</f>
        <v>#N/A</v>
      </c>
      <c r="AH55" s="4" t="e">
        <f>1-ABS(Z55-INDEX('Jogos do Dia'!$F$2:$F$5,MATCH($A55,'Jogos do Dia'!$B$2:$B$5,0)))</f>
        <v>#N/A</v>
      </c>
      <c r="AI55" s="4" t="e">
        <f>IF((INDEX('Jogos do Dia'!$A$2:$A$5,MATCH($A55,'Jogos do Dia'!$B$2:$B$5,0))-B55)&lt;=10,100%,IF((INDEX('Jogos do Dia'!$A$2:$A$5,MATCH($A55,'Jogos do Dia'!$B$2:$B$5,0))-B55)&lt;=20,85%,IF((INDEX('Jogos do Dia'!$A$2:$A$5,MATCH($A55,'Jogos do Dia'!$B$2:$B$5,0))-B55)&lt;=30,70%,IF((INDEX('Jogos do Dia'!$A$2:$A$5,MATCH($A55,'Jogos do Dia'!$B$2:$B$5,0))-B55)&lt;=45,50%,IF((INDEX('Jogos do Dia'!$A$2:$A$5,MATCH($A55,'Jogos do Dia'!$B$2:$B$5,0))-B55)&lt;=90,30%,IF((INDEX('Jogos do Dia'!$A$2:$A$5,MATCH($A55,'Jogos do Dia'!$B$2:$B$5,0))-B55)&lt;=180,15%,0%))))))</f>
        <v>#N/A</v>
      </c>
      <c r="AK55" s="11" t="e">
        <f t="shared" si="3"/>
        <v>#N/A</v>
      </c>
    </row>
    <row r="56" spans="23:37" ht="14.25" customHeight="1" x14ac:dyDescent="0.4">
      <c r="W56" s="1" t="str">
        <f t="shared" si="4"/>
        <v>Não</v>
      </c>
      <c r="X56" s="1">
        <f t="shared" si="5"/>
        <v>0</v>
      </c>
      <c r="Y56" s="3" t="str">
        <f t="shared" si="6"/>
        <v>E</v>
      </c>
      <c r="Z56" s="4"/>
      <c r="AG56" s="4" t="e">
        <f>1-(ABS(AB56-INDEX('Jogos do Dia'!$G$2:$G$5,MATCH($A56,'Jogos do Dia'!$B$2:$B$5,0)))+ABS(AC56-INDEX('Jogos do Dia'!$H$2:$H$5,MATCH($A56,'Jogos do Dia'!$B$2:$B$5,0)))+ABS(AD56-INDEX('Jogos do Dia'!$I$2:$I$5,MATCH($A56,'Jogos do Dia'!$B$2:$B$5,0)))+ABS(AE56-INDEX('Jogos do Dia'!$J$2:$J$5,MATCH($A56,'Jogos do Dia'!$B$2:$B$5,0)))+ABS(AF56-INDEX('Jogos do Dia'!$K$2:$K$5,MATCH($A56,'Jogos do Dia'!$B$2:$B$5,0))))/20</f>
        <v>#N/A</v>
      </c>
      <c r="AH56" s="4" t="e">
        <f>1-ABS(Z56-INDEX('Jogos do Dia'!$F$2:$F$5,MATCH($A56,'Jogos do Dia'!$B$2:$B$5,0)))</f>
        <v>#N/A</v>
      </c>
      <c r="AI56" s="4" t="e">
        <f>IF((INDEX('Jogos do Dia'!$A$2:$A$5,MATCH($A56,'Jogos do Dia'!$B$2:$B$5,0))-B56)&lt;=10,100%,IF((INDEX('Jogos do Dia'!$A$2:$A$5,MATCH($A56,'Jogos do Dia'!$B$2:$B$5,0))-B56)&lt;=20,85%,IF((INDEX('Jogos do Dia'!$A$2:$A$5,MATCH($A56,'Jogos do Dia'!$B$2:$B$5,0))-B56)&lt;=30,70%,IF((INDEX('Jogos do Dia'!$A$2:$A$5,MATCH($A56,'Jogos do Dia'!$B$2:$B$5,0))-B56)&lt;=45,50%,IF((INDEX('Jogos do Dia'!$A$2:$A$5,MATCH($A56,'Jogos do Dia'!$B$2:$B$5,0))-B56)&lt;=90,30%,IF((INDEX('Jogos do Dia'!$A$2:$A$5,MATCH($A56,'Jogos do Dia'!$B$2:$B$5,0))-B56)&lt;=180,15%,0%))))))</f>
        <v>#N/A</v>
      </c>
      <c r="AK56" s="11" t="e">
        <f t="shared" si="3"/>
        <v>#N/A</v>
      </c>
    </row>
    <row r="57" spans="23:37" ht="14.25" customHeight="1" x14ac:dyDescent="0.4">
      <c r="W57" s="1" t="str">
        <f t="shared" si="4"/>
        <v>Não</v>
      </c>
      <c r="X57" s="1">
        <f t="shared" si="5"/>
        <v>0</v>
      </c>
      <c r="Y57" s="3" t="str">
        <f t="shared" si="6"/>
        <v>E</v>
      </c>
      <c r="Z57" s="4"/>
      <c r="AG57" s="4" t="e">
        <f>1-(ABS(AB57-INDEX('Jogos do Dia'!$G$2:$G$5,MATCH($A57,'Jogos do Dia'!$B$2:$B$5,0)))+ABS(AC57-INDEX('Jogos do Dia'!$H$2:$H$5,MATCH($A57,'Jogos do Dia'!$B$2:$B$5,0)))+ABS(AD57-INDEX('Jogos do Dia'!$I$2:$I$5,MATCH($A57,'Jogos do Dia'!$B$2:$B$5,0)))+ABS(AE57-INDEX('Jogos do Dia'!$J$2:$J$5,MATCH($A57,'Jogos do Dia'!$B$2:$B$5,0)))+ABS(AF57-INDEX('Jogos do Dia'!$K$2:$K$5,MATCH($A57,'Jogos do Dia'!$B$2:$B$5,0))))/20</f>
        <v>#N/A</v>
      </c>
      <c r="AH57" s="4" t="e">
        <f>1-ABS(Z57-INDEX('Jogos do Dia'!$F$2:$F$5,MATCH($A57,'Jogos do Dia'!$B$2:$B$5,0)))</f>
        <v>#N/A</v>
      </c>
      <c r="AI57" s="4" t="e">
        <f>IF((INDEX('Jogos do Dia'!$A$2:$A$5,MATCH($A57,'Jogos do Dia'!$B$2:$B$5,0))-B57)&lt;=10,100%,IF((INDEX('Jogos do Dia'!$A$2:$A$5,MATCH($A57,'Jogos do Dia'!$B$2:$B$5,0))-B57)&lt;=20,85%,IF((INDEX('Jogos do Dia'!$A$2:$A$5,MATCH($A57,'Jogos do Dia'!$B$2:$B$5,0))-B57)&lt;=30,70%,IF((INDEX('Jogos do Dia'!$A$2:$A$5,MATCH($A57,'Jogos do Dia'!$B$2:$B$5,0))-B57)&lt;=45,50%,IF((INDEX('Jogos do Dia'!$A$2:$A$5,MATCH($A57,'Jogos do Dia'!$B$2:$B$5,0))-B57)&lt;=90,30%,IF((INDEX('Jogos do Dia'!$A$2:$A$5,MATCH($A57,'Jogos do Dia'!$B$2:$B$5,0))-B57)&lt;=180,15%,0%))))))</f>
        <v>#N/A</v>
      </c>
      <c r="AK57" s="11" t="e">
        <f t="shared" si="3"/>
        <v>#N/A</v>
      </c>
    </row>
    <row r="58" spans="23:37" ht="14.25" customHeight="1" x14ac:dyDescent="0.4">
      <c r="W58" s="1" t="str">
        <f t="shared" si="4"/>
        <v>Não</v>
      </c>
      <c r="X58" s="1">
        <f t="shared" si="5"/>
        <v>0</v>
      </c>
      <c r="Y58" s="5" t="str">
        <f t="shared" si="6"/>
        <v>E</v>
      </c>
      <c r="Z58" s="4"/>
      <c r="AG58" s="4" t="e">
        <f>1-(ABS(AB58-INDEX('Jogos do Dia'!$G$2:$G$5,MATCH($A58,'Jogos do Dia'!$B$2:$B$5,0)))+ABS(AC58-INDEX('Jogos do Dia'!$H$2:$H$5,MATCH($A58,'Jogos do Dia'!$B$2:$B$5,0)))+ABS(AD58-INDEX('Jogos do Dia'!$I$2:$I$5,MATCH($A58,'Jogos do Dia'!$B$2:$B$5,0)))+ABS(AE58-INDEX('Jogos do Dia'!$J$2:$J$5,MATCH($A58,'Jogos do Dia'!$B$2:$B$5,0)))+ABS(AF58-INDEX('Jogos do Dia'!$K$2:$K$5,MATCH($A58,'Jogos do Dia'!$B$2:$B$5,0))))/20</f>
        <v>#N/A</v>
      </c>
      <c r="AH58" s="4" t="e">
        <f>1-ABS(Z58-INDEX('Jogos do Dia'!$F$2:$F$5,MATCH($A58,'Jogos do Dia'!$B$2:$B$5,0)))</f>
        <v>#N/A</v>
      </c>
      <c r="AI58" s="4" t="e">
        <f>IF((INDEX('Jogos do Dia'!$A$2:$A$5,MATCH($A58,'Jogos do Dia'!$B$2:$B$5,0))-B58)&lt;=10,100%,IF((INDEX('Jogos do Dia'!$A$2:$A$5,MATCH($A58,'Jogos do Dia'!$B$2:$B$5,0))-B58)&lt;=20,85%,IF((INDEX('Jogos do Dia'!$A$2:$A$5,MATCH($A58,'Jogos do Dia'!$B$2:$B$5,0))-B58)&lt;=30,70%,IF((INDEX('Jogos do Dia'!$A$2:$A$5,MATCH($A58,'Jogos do Dia'!$B$2:$B$5,0))-B58)&lt;=45,50%,IF((INDEX('Jogos do Dia'!$A$2:$A$5,MATCH($A58,'Jogos do Dia'!$B$2:$B$5,0))-B58)&lt;=90,30%,IF((INDEX('Jogos do Dia'!$A$2:$A$5,MATCH($A58,'Jogos do Dia'!$B$2:$B$5,0))-B58)&lt;=180,15%,0%))))))</f>
        <v>#N/A</v>
      </c>
      <c r="AK58" s="11" t="e">
        <f t="shared" si="3"/>
        <v>#N/A</v>
      </c>
    </row>
    <row r="59" spans="23:37" ht="14.25" customHeight="1" x14ac:dyDescent="0.4">
      <c r="W59" s="1" t="str">
        <f t="shared" si="4"/>
        <v>Não</v>
      </c>
      <c r="X59" s="1">
        <f t="shared" si="5"/>
        <v>0</v>
      </c>
      <c r="Y59" s="3" t="str">
        <f t="shared" si="6"/>
        <v>E</v>
      </c>
      <c r="Z59" s="4"/>
      <c r="AG59" s="4" t="e">
        <f>1-(ABS(AB59-INDEX('Jogos do Dia'!$G$2:$G$5,MATCH($A59,'Jogos do Dia'!$B$2:$B$5,0)))+ABS(AC59-INDEX('Jogos do Dia'!$H$2:$H$5,MATCH($A59,'Jogos do Dia'!$B$2:$B$5,0)))+ABS(AD59-INDEX('Jogos do Dia'!$I$2:$I$5,MATCH($A59,'Jogos do Dia'!$B$2:$B$5,0)))+ABS(AE59-INDEX('Jogos do Dia'!$J$2:$J$5,MATCH($A59,'Jogos do Dia'!$B$2:$B$5,0)))+ABS(AF59-INDEX('Jogos do Dia'!$K$2:$K$5,MATCH($A59,'Jogos do Dia'!$B$2:$B$5,0))))/20</f>
        <v>#N/A</v>
      </c>
      <c r="AH59" s="4" t="e">
        <f>1-ABS(Z59-INDEX('Jogos do Dia'!$F$2:$F$5,MATCH($A59,'Jogos do Dia'!$B$2:$B$5,0)))</f>
        <v>#N/A</v>
      </c>
      <c r="AI59" s="4" t="e">
        <f>IF((INDEX('Jogos do Dia'!$A$2:$A$5,MATCH($A59,'Jogos do Dia'!$B$2:$B$5,0))-B59)&lt;=10,100%,IF((INDEX('Jogos do Dia'!$A$2:$A$5,MATCH($A59,'Jogos do Dia'!$B$2:$B$5,0))-B59)&lt;=20,85%,IF((INDEX('Jogos do Dia'!$A$2:$A$5,MATCH($A59,'Jogos do Dia'!$B$2:$B$5,0))-B59)&lt;=30,70%,IF((INDEX('Jogos do Dia'!$A$2:$A$5,MATCH($A59,'Jogos do Dia'!$B$2:$B$5,0))-B59)&lt;=45,50%,IF((INDEX('Jogos do Dia'!$A$2:$A$5,MATCH($A59,'Jogos do Dia'!$B$2:$B$5,0))-B59)&lt;=90,30%,IF((INDEX('Jogos do Dia'!$A$2:$A$5,MATCH($A59,'Jogos do Dia'!$B$2:$B$5,0))-B59)&lt;=180,15%,0%))))))</f>
        <v>#N/A</v>
      </c>
      <c r="AK59" s="11" t="e">
        <f t="shared" si="3"/>
        <v>#N/A</v>
      </c>
    </row>
    <row r="60" spans="23:37" ht="14.25" customHeight="1" x14ac:dyDescent="0.4">
      <c r="W60" s="1" t="str">
        <f t="shared" si="4"/>
        <v>Não</v>
      </c>
      <c r="X60" s="1">
        <f t="shared" si="5"/>
        <v>0</v>
      </c>
      <c r="Y60" s="6" t="str">
        <f t="shared" si="6"/>
        <v>E</v>
      </c>
      <c r="Z60" s="4"/>
      <c r="AG60" s="4" t="e">
        <f>1-(ABS(AB60-INDEX('Jogos do Dia'!$G$2:$G$5,MATCH($A60,'Jogos do Dia'!$B$2:$B$5,0)))+ABS(AC60-INDEX('Jogos do Dia'!$H$2:$H$5,MATCH($A60,'Jogos do Dia'!$B$2:$B$5,0)))+ABS(AD60-INDEX('Jogos do Dia'!$I$2:$I$5,MATCH($A60,'Jogos do Dia'!$B$2:$B$5,0)))+ABS(AE60-INDEX('Jogos do Dia'!$J$2:$J$5,MATCH($A60,'Jogos do Dia'!$B$2:$B$5,0)))+ABS(AF60-INDEX('Jogos do Dia'!$K$2:$K$5,MATCH($A60,'Jogos do Dia'!$B$2:$B$5,0))))/20</f>
        <v>#N/A</v>
      </c>
      <c r="AH60" s="4" t="e">
        <f>1-ABS(Z60-INDEX('Jogos do Dia'!$F$2:$F$5,MATCH($A60,'Jogos do Dia'!$B$2:$B$5,0)))</f>
        <v>#N/A</v>
      </c>
      <c r="AI60" s="4" t="e">
        <f>IF((INDEX('Jogos do Dia'!$A$2:$A$5,MATCH($A60,'Jogos do Dia'!$B$2:$B$5,0))-B60)&lt;=10,100%,IF((INDEX('Jogos do Dia'!$A$2:$A$5,MATCH($A60,'Jogos do Dia'!$B$2:$B$5,0))-B60)&lt;=20,85%,IF((INDEX('Jogos do Dia'!$A$2:$A$5,MATCH($A60,'Jogos do Dia'!$B$2:$B$5,0))-B60)&lt;=30,70%,IF((INDEX('Jogos do Dia'!$A$2:$A$5,MATCH($A60,'Jogos do Dia'!$B$2:$B$5,0))-B60)&lt;=45,50%,IF((INDEX('Jogos do Dia'!$A$2:$A$5,MATCH($A60,'Jogos do Dia'!$B$2:$B$5,0))-B60)&lt;=90,30%,IF((INDEX('Jogos do Dia'!$A$2:$A$5,MATCH($A60,'Jogos do Dia'!$B$2:$B$5,0))-B60)&lt;=180,15%,0%))))))</f>
        <v>#N/A</v>
      </c>
      <c r="AK60" s="11" t="e">
        <f t="shared" si="3"/>
        <v>#N/A</v>
      </c>
    </row>
    <row r="61" spans="23:37" ht="14.25" customHeight="1" x14ac:dyDescent="0.4">
      <c r="W61" s="1" t="str">
        <f t="shared" si="4"/>
        <v>Não</v>
      </c>
      <c r="X61" s="1">
        <f t="shared" si="5"/>
        <v>0</v>
      </c>
      <c r="Y61" s="6" t="str">
        <f t="shared" si="6"/>
        <v>E</v>
      </c>
      <c r="Z61" s="4"/>
      <c r="AG61" s="4" t="e">
        <f>1-(ABS(AB61-INDEX('Jogos do Dia'!$G$2:$G$5,MATCH($A61,'Jogos do Dia'!$B$2:$B$5,0)))+ABS(AC61-INDEX('Jogos do Dia'!$H$2:$H$5,MATCH($A61,'Jogos do Dia'!$B$2:$B$5,0)))+ABS(AD61-INDEX('Jogos do Dia'!$I$2:$I$5,MATCH($A61,'Jogos do Dia'!$B$2:$B$5,0)))+ABS(AE61-INDEX('Jogos do Dia'!$J$2:$J$5,MATCH($A61,'Jogos do Dia'!$B$2:$B$5,0)))+ABS(AF61-INDEX('Jogos do Dia'!$K$2:$K$5,MATCH($A61,'Jogos do Dia'!$B$2:$B$5,0))))/20</f>
        <v>#N/A</v>
      </c>
      <c r="AH61" s="4" t="e">
        <f>1-ABS(Z61-INDEX('Jogos do Dia'!$F$2:$F$5,MATCH($A61,'Jogos do Dia'!$B$2:$B$5,0)))</f>
        <v>#N/A</v>
      </c>
      <c r="AI61" s="4" t="e">
        <f>IF((INDEX('Jogos do Dia'!$A$2:$A$5,MATCH($A61,'Jogos do Dia'!$B$2:$B$5,0))-B61)&lt;=10,100%,IF((INDEX('Jogos do Dia'!$A$2:$A$5,MATCH($A61,'Jogos do Dia'!$B$2:$B$5,0))-B61)&lt;=20,85%,IF((INDEX('Jogos do Dia'!$A$2:$A$5,MATCH($A61,'Jogos do Dia'!$B$2:$B$5,0))-B61)&lt;=30,70%,IF((INDEX('Jogos do Dia'!$A$2:$A$5,MATCH($A61,'Jogos do Dia'!$B$2:$B$5,0))-B61)&lt;=45,50%,IF((INDEX('Jogos do Dia'!$A$2:$A$5,MATCH($A61,'Jogos do Dia'!$B$2:$B$5,0))-B61)&lt;=90,30%,IF((INDEX('Jogos do Dia'!$A$2:$A$5,MATCH($A61,'Jogos do Dia'!$B$2:$B$5,0))-B61)&lt;=180,15%,0%))))))</f>
        <v>#N/A</v>
      </c>
      <c r="AK61" s="11" t="e">
        <f t="shared" si="3"/>
        <v>#N/A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97AA-3684-45DA-84D4-4936325F44D2}">
  <dimension ref="A1:AJ10"/>
  <sheetViews>
    <sheetView topLeftCell="K1" zoomScale="85" zoomScaleNormal="85" workbookViewId="0">
      <pane ySplit="1" topLeftCell="A3" activePane="bottomLeft" state="frozen"/>
      <selection activeCell="L1" sqref="L1"/>
      <selection pane="bottomLeft" activeCell="O3" sqref="O3"/>
    </sheetView>
  </sheetViews>
  <sheetFormatPr defaultColWidth="8.69140625" defaultRowHeight="14.6" x14ac:dyDescent="0.4"/>
  <cols>
    <col min="1" max="1" width="11" customWidth="1"/>
    <col min="2" max="3" width="16" customWidth="1"/>
    <col min="4" max="5" width="26" customWidth="1"/>
    <col min="6" max="6" width="14.3828125" customWidth="1"/>
    <col min="7" max="7" width="14.23046875" customWidth="1"/>
    <col min="8" max="8" width="14.69140625" customWidth="1"/>
    <col min="9" max="9" width="12.84375" customWidth="1"/>
    <col min="10" max="10" width="10.23046875" customWidth="1"/>
    <col min="11" max="11" width="14.4609375" customWidth="1"/>
    <col min="12" max="12" width="16.07421875" customWidth="1"/>
    <col min="13" max="13" width="22" customWidth="1"/>
    <col min="14" max="14" width="30" customWidth="1"/>
    <col min="15" max="15" width="12.53515625" customWidth="1"/>
    <col min="16" max="16" width="11.84375" customWidth="1"/>
    <col min="17" max="17" width="12.53515625" customWidth="1"/>
    <col min="18" max="18" width="11.3046875" customWidth="1"/>
    <col min="19" max="22" width="13.3046875" customWidth="1"/>
    <col min="23" max="23" width="13" customWidth="1"/>
    <col min="24" max="24" width="11.921875" customWidth="1"/>
    <col min="25" max="25" width="11.4609375" customWidth="1"/>
    <col min="26" max="26" width="11.53515625" customWidth="1"/>
    <col min="29" max="33" width="10.69140625" customWidth="1"/>
    <col min="34" max="34" width="11.23046875" customWidth="1"/>
  </cols>
  <sheetData>
    <row r="1" spans="1:36" ht="24" customHeight="1" x14ac:dyDescent="0.4">
      <c r="A1" s="7" t="s">
        <v>1</v>
      </c>
      <c r="B1" s="7" t="s">
        <v>0</v>
      </c>
      <c r="C1" s="2" t="s">
        <v>3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  <c r="L1" s="7" t="s">
        <v>47</v>
      </c>
      <c r="M1" s="7" t="s">
        <v>48</v>
      </c>
      <c r="N1" s="7" t="s">
        <v>49</v>
      </c>
      <c r="O1" s="7" t="s">
        <v>5</v>
      </c>
      <c r="P1" s="7" t="s">
        <v>6</v>
      </c>
      <c r="Q1" s="7" t="s">
        <v>50</v>
      </c>
      <c r="R1" s="7" t="s">
        <v>11</v>
      </c>
      <c r="S1" s="7" t="s">
        <v>12</v>
      </c>
      <c r="T1" s="7" t="s">
        <v>51</v>
      </c>
      <c r="U1" s="7" t="s">
        <v>9</v>
      </c>
      <c r="V1" s="7" t="s">
        <v>10</v>
      </c>
      <c r="W1" s="7" t="s">
        <v>52</v>
      </c>
      <c r="X1" s="7" t="s">
        <v>13</v>
      </c>
      <c r="Y1" s="7" t="s">
        <v>14</v>
      </c>
      <c r="Z1" s="7" t="s">
        <v>53</v>
      </c>
      <c r="AA1" s="7" t="s">
        <v>15</v>
      </c>
      <c r="AB1" s="7" t="s">
        <v>16</v>
      </c>
      <c r="AC1" s="7" t="s">
        <v>54</v>
      </c>
      <c r="AD1" s="7" t="s">
        <v>55</v>
      </c>
      <c r="AE1" s="7" t="s">
        <v>56</v>
      </c>
      <c r="AF1" s="7" t="s">
        <v>57</v>
      </c>
      <c r="AG1" s="7" t="s">
        <v>22</v>
      </c>
      <c r="AH1" s="7" t="s">
        <v>58</v>
      </c>
      <c r="AJ1" t="s">
        <v>59</v>
      </c>
    </row>
    <row r="2" spans="1:36" ht="14.25" customHeight="1" x14ac:dyDescent="0.4">
      <c r="A2" t="s">
        <v>60</v>
      </c>
      <c r="B2" t="s">
        <v>36</v>
      </c>
      <c r="C2" t="s">
        <v>37</v>
      </c>
      <c r="D2" t="s">
        <v>38</v>
      </c>
      <c r="E2" t="s">
        <v>61</v>
      </c>
      <c r="F2" s="4">
        <v>0.23300000000000001</v>
      </c>
      <c r="G2" s="1">
        <v>1</v>
      </c>
      <c r="H2" s="1">
        <v>5</v>
      </c>
      <c r="I2" s="1">
        <v>4</v>
      </c>
      <c r="J2" s="1">
        <v>5</v>
      </c>
      <c r="K2" s="1">
        <v>3</v>
      </c>
      <c r="L2" s="1" t="s">
        <v>62</v>
      </c>
      <c r="M2" t="s">
        <v>63</v>
      </c>
      <c r="O2" s="8" cm="1">
        <f t="array" ref="O2">IFERROR(SUMPRODUCT((Times!$A$2:$A$61=$B2)*(Times!$AG$2:$AG$61&gt;=65%)*(Times!$AH$2:$AH$61&gt;=65%)*Times!$F$2:$F$61*Times!$AK$2:$AK$61)/SUMPRODUCT((Times!$A$2:$A$61=$B2)*(Times!$AG$2:$AG$61&gt;=65%)*(Times!$AH$2:$AH$61&gt;=65%)*Times!$AK$2:$AK$61),0)</f>
        <v>0</v>
      </c>
      <c r="P2" s="8" cm="1">
        <f t="array" ref="P2">IFERROR(SUMPRODUCT((Times!$A$2:$A$61=$B2)*(Times!$AG$2:$AG$61&gt;=65%)*(Times!$AH$2:$AH$61&gt;=65%)*Times!$G$2:$G$61*Times!$AK$2:$AK$61)/SUMPRODUCT((Times!$A$2:$A$61=$B2)*(Times!$AG$2:$AG$61&gt;=65%)*(Times!$AH$2:$AH$61&gt;=65%)*Times!$AK$2:$AK$61),0)</f>
        <v>0</v>
      </c>
      <c r="Q2" s="8">
        <f>Tabela26[[#This Row],[Gols Pró]]+Tabela26[[#This Row],[Gols Contra]]</f>
        <v>0</v>
      </c>
      <c r="R2" s="8" cm="1">
        <f t="array" ref="R2">IFERROR(_xlfn.LET(_xlpm.tm,$B2,_xlpm.vals,_xlfn._xlws.FILTER(Times!$L$2:$L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S2" s="8" cm="1">
        <f t="array" ref="S2">IFERROR(_xlfn.LET(_xlpm.tm,$B2,_xlpm.vals,_xlfn._xlws.FILTER(Times!$M$2:$M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T2" s="8">
        <f>Tabela26[[#This Row],[Cartões Pró]]+Tabela26[[#This Row],[Cartões Contra]]</f>
        <v>0</v>
      </c>
      <c r="U2" s="8" cm="1">
        <f t="array" ref="U2">IFERROR(_xlfn.LET(_xlpm.tm,$B2,_xlpm.vals,_xlfn._xlws.FILTER(Times!$J$2:$J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V2" s="8" cm="1">
        <f t="array" ref="V2">IFERROR(_xlfn.LET(_xlpm.tm,$B2,_xlpm.vals,_xlfn._xlws.FILTER(Times!$K$2:$K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W2" s="8">
        <f>Tabela26[[#This Row],[Escanteios Pró]]+Tabela26[[#This Row],[Escanteios Contra]]</f>
        <v>0</v>
      </c>
      <c r="X2" s="8" cm="1">
        <f t="array" ref="X2">IFERROR(_xlfn.LET(_xlpm.tm,$B2,_xlpm.vals,_xlfn._xlws.FILTER(Times!$N$2:$N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Y2" s="8" cm="1">
        <f t="array" ref="Y2">IFERROR(_xlfn.LET(_xlpm.tm,$B2,_xlpm.vals,_xlfn._xlws.FILTER(Times!$O$2:$O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Z2" s="8">
        <f>Tabela26[[#This Row],[Chutes Pró]]+Tabela26[[#This Row],[Chutes Contra]]</f>
        <v>0</v>
      </c>
      <c r="AA2" s="8" cm="1">
        <f t="array" ref="AA2">IFERROR(_xlfn.LET(_xlpm.tm,$B2,_xlpm.vals,_xlfn._xlws.FILTER(Times!$P$2:$P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B2" s="8" cm="1">
        <f t="array" ref="AB2">IFERROR(_xlfn.LET(_xlpm.tm,$B2,_xlpm.vals,_xlfn._xlws.FILTER(Times!$Q$2:$Q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C2" s="8">
        <f>Tabela26[[#This Row],[Chutes Gol Pró]]+Tabela26[[#This Row],[Chutes Gol Contra]]</f>
        <v>0</v>
      </c>
      <c r="AD2" s="8" cm="1">
        <f t="array" ref="AD2">IFERROR(_xlfn.LET(_xlpm.tm,$B2,_xlpm.vals,_xlfn._xlws.FILTER(Times!$U$2:$U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E2" s="8" cm="1">
        <f t="array" ref="AE2">IFERROR(_xlfn.LET(_xlpm.tm,$B2,_xlpm.vals,_xlfn._xlws.FILTER(Times!$V$2:$V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F2" s="8">
        <f>Tabela26[[#This Row],[Gols 1T Pró]]+Tabela26[[#This Row],[Gols 1T Contra]]</f>
        <v>0</v>
      </c>
      <c r="AG2" s="8" t="str">
        <f>IF(AND(Tabela26[[#This Row],[Gols Pró]]&gt;0.5,Tabela26[[#This Row],[Gols Contra]]&gt;0.5),"Sim","Não")</f>
        <v>Não</v>
      </c>
      <c r="AH2" s="9">
        <f>COUNTIFS(Tabela15[Time],Tabela26[[#This Row],[Time]],Tabela15[Aderência ao alvo (%)],"&gt;="&amp;0.65,Tabela15[Favoritismo (preencher depois)],"&gt;="&amp;Tabela26[[#This Row],[Favoristismo]]-0.2,Tabela15[Favoritismo (preencher depois)],"&lt;="&amp;Tabela26[[#This Row],[Favoristismo]]+0.2)</f>
        <v>0</v>
      </c>
      <c r="AJ2" t="str">
        <f>B2&amp;"|"&amp;C2</f>
        <v>Portugal|Spain</v>
      </c>
    </row>
    <row r="3" spans="1:36" ht="14.25" customHeight="1" x14ac:dyDescent="0.4">
      <c r="F3" s="4"/>
      <c r="G3" s="1"/>
      <c r="H3" s="1"/>
      <c r="I3" s="1"/>
      <c r="J3" s="1"/>
      <c r="K3" s="1"/>
      <c r="L3" s="1"/>
      <c r="O3" s="8" cm="1">
        <f t="array" ref="O3">IFERROR(SUMPRODUCT((Times!$A$2:$A$61=$B3)*(Times!$AG$2:$AG$61&gt;=65%)*(Times!$AH$2:$AH$61&gt;=65%)*Times!$F$2:$F$61*Times!$AK$2:$AK$61)/SUMPRODUCT((Times!$A$2:$A$61=$B3)*(Times!$AG$2:$AG$61&gt;=65%)*(Times!$AH$2:$AH$61&gt;=65%)*Times!$AK$2:$AK$61),0)</f>
        <v>0</v>
      </c>
      <c r="P3" s="8" cm="1">
        <f t="array" ref="P3">IFERROR(SUMPRODUCT((Times!$A$2:$A$61=$B3)*(Times!$AG$2:$AG$61&gt;=65%)*(Times!$AH$2:$AH$61&gt;=65%)*Times!$G$2:$G$61*Times!$AK$2:$AK$61)/SUMPRODUCT((Times!$A$2:$A$61=$B3)*(Times!$AG$2:$AG$61&gt;=65%)*(Times!$AH$2:$AH$61&gt;=65%)*Times!$AK$2:$AK$61),0)</f>
        <v>0</v>
      </c>
      <c r="Q3" s="8">
        <f>Tabela26[[#This Row],[Gols Pró]]+Tabela26[[#This Row],[Gols Contra]]</f>
        <v>0</v>
      </c>
      <c r="R3" s="8" cm="1">
        <f t="array" ref="R3">IFERROR(_xlfn.LET(_xlpm.tm,$B3,_xlpm.vals,_xlfn._xlws.FILTER(Times!$L$2:$L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S3" s="8" cm="1">
        <f t="array" ref="S3">IFERROR(_xlfn.LET(_xlpm.tm,$B3,_xlpm.vals,_xlfn._xlws.FILTER(Times!$M$2:$M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T3" s="8">
        <f>Tabela26[[#This Row],[Cartões Pró]]+Tabela26[[#This Row],[Cartões Contra]]</f>
        <v>0</v>
      </c>
      <c r="U3" s="8" cm="1">
        <f t="array" ref="U3">IFERROR(_xlfn.LET(_xlpm.tm,$B3,_xlpm.vals,_xlfn._xlws.FILTER(Times!$J$2:$J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V3" s="8" cm="1">
        <f t="array" ref="V3">IFERROR(_xlfn.LET(_xlpm.tm,$B3,_xlpm.vals,_xlfn._xlws.FILTER(Times!$K$2:$K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W3" s="8">
        <f>Tabela26[[#This Row],[Escanteios Pró]]+Tabela26[[#This Row],[Escanteios Contra]]</f>
        <v>0</v>
      </c>
      <c r="X3" s="8" cm="1">
        <f t="array" ref="X3">IFERROR(_xlfn.LET(_xlpm.tm,$B3,_xlpm.vals,_xlfn._xlws.FILTER(Times!$N$2:$N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Y3" s="8" cm="1">
        <f t="array" ref="Y3">IFERROR(_xlfn.LET(_xlpm.tm,$B3,_xlpm.vals,_xlfn._xlws.FILTER(Times!$O$2:$O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Z3" s="8">
        <f>Tabela26[[#This Row],[Chutes Pró]]+Tabela26[[#This Row],[Chutes Contra]]</f>
        <v>0</v>
      </c>
      <c r="AA3" s="8" cm="1">
        <f t="array" ref="AA3">IFERROR(_xlfn.LET(_xlpm.tm,$B3,_xlpm.vals,_xlfn._xlws.FILTER(Times!$P$2:$P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B3" s="8" cm="1">
        <f t="array" ref="AB3">IFERROR(_xlfn.LET(_xlpm.tm,$B3,_xlpm.vals,_xlfn._xlws.FILTER(Times!$Q$2:$Q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C3" s="8">
        <f>Tabela26[[#This Row],[Chutes Gol Pró]]+Tabela26[[#This Row],[Chutes Gol Contra]]</f>
        <v>0</v>
      </c>
      <c r="AD3" s="8" cm="1">
        <f t="array" ref="AD3">IFERROR(_xlfn.LET(_xlpm.tm,$B3,_xlpm.vals,_xlfn._xlws.FILTER(Times!$U$2:$U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E3" s="8" cm="1">
        <f t="array" ref="AE3">IFERROR(_xlfn.LET(_xlpm.tm,$B3,_xlpm.vals,_xlfn._xlws.FILTER(Times!$V$2:$V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F3" s="8">
        <f>Tabela26[[#This Row],[Gols 1T Pró]]+Tabela26[[#This Row],[Gols 1T Contra]]</f>
        <v>0</v>
      </c>
      <c r="AG3" s="8" t="str">
        <f>IF(AND(Tabela26[[#This Row],[Gols Pró]]&gt;0.5,Tabela26[[#This Row],[Gols Contra]]&gt;0.5),"Sim","Não")</f>
        <v>Não</v>
      </c>
      <c r="AH3" s="9">
        <f>COUNTIFS(Tabela15[Time],Tabela26[[#This Row],[Time]],Tabela15[Aderência ao alvo (%)],"&gt;="&amp;0.65,Tabela15[Favoritismo (preencher depois)],"&gt;="&amp;Tabela26[[#This Row],[Favoristismo]]-0.2,Tabela15[Favoritismo (preencher depois)],"&lt;="&amp;Tabela26[[#This Row],[Favoristismo]]+0.2)</f>
        <v>0</v>
      </c>
      <c r="AJ3" t="str">
        <f>B3&amp;"|"&amp;C3</f>
        <v>|</v>
      </c>
    </row>
    <row r="4" spans="1:36" ht="14.25" customHeight="1" x14ac:dyDescent="0.4">
      <c r="F4" s="4"/>
      <c r="G4" s="1"/>
      <c r="H4" s="1"/>
      <c r="I4" s="1"/>
      <c r="J4" s="1"/>
      <c r="K4" s="1"/>
      <c r="L4" s="1"/>
      <c r="O4" s="8" cm="1">
        <f t="array" ref="O4">IFERROR(SUMPRODUCT((Times!$A$2:$A$61=$B4)*(Times!$AG$2:$AG$61&gt;=65%)*(Times!$AH$2:$AH$61&gt;=65%)*Times!$F$2:$F$61*Times!$AK$2:$AK$61)/SUMPRODUCT((Times!$A$2:$A$61=$B4)*(Times!$AG$2:$AG$61&gt;=65%)*(Times!$AH$2:$AH$61&gt;=65%)*Times!$AK$2:$AK$61),0)</f>
        <v>0</v>
      </c>
      <c r="P4" s="8" cm="1">
        <f t="array" ref="P4">IFERROR(SUMPRODUCT((Times!$A$2:$A$61=$B4)*(Times!$AG$2:$AG$61&gt;=65%)*(Times!$AH$2:$AH$61&gt;=65%)*Times!$G$2:$G$61*Times!$AK$2:$AK$61)/SUMPRODUCT((Times!$A$2:$A$61=$B4)*(Times!$AG$2:$AG$61&gt;=65%)*(Times!$AH$2:$AH$61&gt;=65%)*Times!$AK$2:$AK$61),0)</f>
        <v>0</v>
      </c>
      <c r="Q4" s="8">
        <f>Tabela26[[#This Row],[Gols Pró]]+Tabela26[[#This Row],[Gols Contra]]</f>
        <v>0</v>
      </c>
      <c r="R4" s="8" cm="1">
        <f t="array" ref="R4">IFERROR(_xlfn.LET(_xlpm.tm,$B4,_xlpm.vals,_xlfn._xlws.FILTER(Times!$L$2:$L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S4" s="8" cm="1">
        <f t="array" ref="S4">IFERROR(_xlfn.LET(_xlpm.tm,$B4,_xlpm.vals,_xlfn._xlws.FILTER(Times!$M$2:$M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T4" s="8">
        <f>Tabela26[[#This Row],[Cartões Pró]]+Tabela26[[#This Row],[Cartões Contra]]</f>
        <v>0</v>
      </c>
      <c r="U4" s="8" cm="1">
        <f t="array" ref="U4">IFERROR(_xlfn.LET(_xlpm.tm,$B4,_xlpm.vals,_xlfn._xlws.FILTER(Times!$J$2:$J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V4" s="8" cm="1">
        <f t="array" ref="V4">IFERROR(_xlfn.LET(_xlpm.tm,$B4,_xlpm.vals,_xlfn._xlws.FILTER(Times!$K$2:$K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W4" s="8">
        <f>Tabela26[[#This Row],[Escanteios Pró]]+Tabela26[[#This Row],[Escanteios Contra]]</f>
        <v>0</v>
      </c>
      <c r="X4" s="8" cm="1">
        <f t="array" ref="X4">IFERROR(_xlfn.LET(_xlpm.tm,$B4,_xlpm.vals,_xlfn._xlws.FILTER(Times!$N$2:$N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Y4" s="8" cm="1">
        <f t="array" ref="Y4">IFERROR(_xlfn.LET(_xlpm.tm,$B4,_xlpm.vals,_xlfn._xlws.FILTER(Times!$O$2:$O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Z4" s="8">
        <f>Tabela26[[#This Row],[Chutes Pró]]+Tabela26[[#This Row],[Chutes Contra]]</f>
        <v>0</v>
      </c>
      <c r="AA4" s="8" cm="1">
        <f t="array" ref="AA4">IFERROR(_xlfn.LET(_xlpm.tm,$B4,_xlpm.vals,_xlfn._xlws.FILTER(Times!$P$2:$P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B4" s="8" cm="1">
        <f t="array" ref="AB4">IFERROR(_xlfn.LET(_xlpm.tm,$B4,_xlpm.vals,_xlfn._xlws.FILTER(Times!$Q$2:$Q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C4" s="8">
        <f>Tabela26[[#This Row],[Chutes Gol Pró]]+Tabela26[[#This Row],[Chutes Gol Contra]]</f>
        <v>0</v>
      </c>
      <c r="AD4" s="8" cm="1">
        <f t="array" ref="AD4">IFERROR(_xlfn.LET(_xlpm.tm,$B4,_xlpm.vals,_xlfn._xlws.FILTER(Times!$U$2:$U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E4" s="8" cm="1">
        <f t="array" ref="AE4">IFERROR(_xlfn.LET(_xlpm.tm,$B4,_xlpm.vals,_xlfn._xlws.FILTER(Times!$V$2:$V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F4" s="8">
        <f>Tabela26[[#This Row],[Gols 1T Pró]]+Tabela26[[#This Row],[Gols 1T Contra]]</f>
        <v>0</v>
      </c>
      <c r="AG4" s="8" t="str">
        <f>IF(AND(Tabela26[[#This Row],[Gols Pró]]&gt;0.5,Tabela26[[#This Row],[Gols Contra]]&gt;0.5),"Sim","Não")</f>
        <v>Não</v>
      </c>
      <c r="AH4" s="9">
        <f>COUNTIFS(Tabela15[Time],Tabela26[[#This Row],[Time]],Tabela15[Aderência ao alvo (%)],"&gt;="&amp;0.65,Tabela15[Favoritismo (preencher depois)],"&gt;="&amp;Tabela26[[#This Row],[Favoristismo]]-0.2,Tabela15[Favoritismo (preencher depois)],"&lt;="&amp;Tabela26[[#This Row],[Favoristismo]]+0.2)</f>
        <v>0</v>
      </c>
      <c r="AJ4" t="str">
        <f>B4&amp;"|"&amp;C4</f>
        <v>|</v>
      </c>
    </row>
    <row r="5" spans="1:36" ht="14.25" customHeight="1" x14ac:dyDescent="0.4">
      <c r="F5" s="4"/>
      <c r="G5" s="1"/>
      <c r="H5" s="1"/>
      <c r="I5" s="1"/>
      <c r="J5" s="1"/>
      <c r="K5" s="1"/>
      <c r="L5" s="1"/>
      <c r="O5" s="8" cm="1">
        <f t="array" ref="O5">IFERROR(SUMPRODUCT((Times!$A$2:$A$61=$B5)*(Times!$AG$2:$AG$61&gt;=65%)*(Times!$AH$2:$AH$61&gt;=65%)*Times!$F$2:$F$61*Times!$AK$2:$AK$61)/SUMPRODUCT((Times!$A$2:$A$61=$B5)*(Times!$AG$2:$AG$61&gt;=65%)*(Times!$AH$2:$AH$61&gt;=65%)*Times!$AK$2:$AK$61),0)</f>
        <v>0</v>
      </c>
      <c r="P5" s="8" cm="1">
        <f t="array" ref="P5">IFERROR(SUMPRODUCT((Times!$A$2:$A$61=$B5)*(Times!$AG$2:$AG$61&gt;=65%)*(Times!$AH$2:$AH$61&gt;=65%)*Times!$G$2:$G$61*Times!$AK$2:$AK$61)/SUMPRODUCT((Times!$A$2:$A$61=$B5)*(Times!$AG$2:$AG$61&gt;=65%)*(Times!$AH$2:$AH$61&gt;=65%)*Times!$AK$2:$AK$61),0)</f>
        <v>0</v>
      </c>
      <c r="Q5" s="8">
        <f>Tabela26[[#This Row],[Gols Pró]]+Tabela26[[#This Row],[Gols Contra]]</f>
        <v>0</v>
      </c>
      <c r="R5" s="8" cm="1">
        <f t="array" ref="R5">IFERROR(_xlfn.LET(_xlpm.tm,$B5,_xlpm.vals,_xlfn._xlws.FILTER(Times!$L$2:$L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S5" s="8" cm="1">
        <f t="array" ref="S5">IFERROR(_xlfn.LET(_xlpm.tm,$B5,_xlpm.vals,_xlfn._xlws.FILTER(Times!$M$2:$M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T5" s="8">
        <f>Tabela26[[#This Row],[Cartões Pró]]+Tabela26[[#This Row],[Cartões Contra]]</f>
        <v>0</v>
      </c>
      <c r="U5" s="8" cm="1">
        <f t="array" ref="U5">IFERROR(_xlfn.LET(_xlpm.tm,$B5,_xlpm.vals,_xlfn._xlws.FILTER(Times!$J$2:$J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V5" s="8" cm="1">
        <f t="array" ref="V5">IFERROR(_xlfn.LET(_xlpm.tm,$B5,_xlpm.vals,_xlfn._xlws.FILTER(Times!$K$2:$K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W5" s="8">
        <f>Tabela26[[#This Row],[Escanteios Pró]]+Tabela26[[#This Row],[Escanteios Contra]]</f>
        <v>0</v>
      </c>
      <c r="X5" s="8" cm="1">
        <f t="array" ref="X5">IFERROR(_xlfn.LET(_xlpm.tm,$B5,_xlpm.vals,_xlfn._xlws.FILTER(Times!$N$2:$N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Y5" s="8" cm="1">
        <f t="array" ref="Y5">IFERROR(_xlfn.LET(_xlpm.tm,$B5,_xlpm.vals,_xlfn._xlws.FILTER(Times!$O$2:$O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Z5" s="8">
        <f>Tabela26[[#This Row],[Chutes Pró]]+Tabela26[[#This Row],[Chutes Contra]]</f>
        <v>0</v>
      </c>
      <c r="AA5" s="8" cm="1">
        <f t="array" ref="AA5">IFERROR(_xlfn.LET(_xlpm.tm,$B5,_xlpm.vals,_xlfn._xlws.FILTER(Times!$P$2:$P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B5" s="8" cm="1">
        <f t="array" ref="AB5">IFERROR(_xlfn.LET(_xlpm.tm,$B5,_xlpm.vals,_xlfn._xlws.FILTER(Times!$Q$2:$Q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C5" s="8">
        <f>Tabela26[[#This Row],[Chutes Gol Pró]]+Tabela26[[#This Row],[Chutes Gol Contra]]</f>
        <v>0</v>
      </c>
      <c r="AD5" s="8" cm="1">
        <f t="array" ref="AD5">IFERROR(_xlfn.LET(_xlpm.tm,$B5,_xlpm.vals,_xlfn._xlws.FILTER(Times!$U$2:$U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E5" s="8" cm="1">
        <f t="array" ref="AE5">IFERROR(_xlfn.LET(_xlpm.tm,$B5,_xlpm.vals,_xlfn._xlws.FILTER(Times!$V$2:$V$61,Times!$A$2:$A$61=_xlpm.tm),_xlpm.ag,_xlfn._xlws.FILTER(Times!$AG$2:$AG$61,Times!$A$2:$A$61=_xlpm.tm),_xlpm.ah,_xlfn._xlws.FILTER(Times!$AH$2:$AH$61,Times!$A$2:$A$61=_xlpm.tm),_xlpm.ai,_xlfn._xlws.FILTER(Times!$AI$2:$AI$61,Times!$A$2:$A$61=_xlpm.tm),_xlpm.wt,_xlpm.ag*50%+_xlpm.ah*30%+_xlpm.ai*20%,_xlpm.n,ROWS(_xlpm.vals),_xlpm.avg,AVERAGE(_xlpm.vals),_xlpm.sd,IF(_xlpm.n&gt;1,_xlfn.STDEV.S(_xlpm.vals),0),_xlpm.mask,IF(_xlpm.n&lt;3,_xlfn.SEQUENCE(_xlpm.n,1,1,0)=1,ABS(_xlpm.vals-_xlpm.avg)&lt;=_xlpm.sd)*(_xlpm.ag&gt;=65%)*(_xlpm.ah&gt;=65%),AVERAGE(_xlfn._xlws.FILTER(_xlpm.vals*_xlpm.wt,_xlpm.mask))),0)</f>
        <v>0</v>
      </c>
      <c r="AF5" s="8">
        <f>Tabela26[[#This Row],[Gols 1T Pró]]+Tabela26[[#This Row],[Gols 1T Contra]]</f>
        <v>0</v>
      </c>
      <c r="AG5" s="8" t="str">
        <f>IF(AND(Tabela26[[#This Row],[Gols Pró]]&gt;0.5,Tabela26[[#This Row],[Gols Contra]]&gt;0.5),"Sim","Não")</f>
        <v>Não</v>
      </c>
      <c r="AH5" s="9">
        <f>COUNTIFS(Tabela15[Time],Tabela26[[#This Row],[Time]],Tabela15[Aderência ao alvo (%)],"&gt;="&amp;0.65,Tabela15[Favoritismo (preencher depois)],"&gt;="&amp;Tabela26[[#This Row],[Favoristismo]]-0.2,Tabela15[Favoritismo (preencher depois)],"&lt;="&amp;Tabela26[[#This Row],[Favoristismo]]+0.2)</f>
        <v>0</v>
      </c>
      <c r="AJ5" t="str">
        <f>B5&amp;"|"&amp;C5</f>
        <v>|</v>
      </c>
    </row>
    <row r="9" spans="1:36" ht="14.25" customHeight="1" x14ac:dyDescent="0.4">
      <c r="F9" s="10"/>
      <c r="G9" s="10"/>
    </row>
    <row r="10" spans="1:36" ht="14.25" customHeight="1" x14ac:dyDescent="0.4">
      <c r="F10" s="11"/>
      <c r="G10" s="10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30F2-9686-455A-9986-B0F09DBCAE95}">
  <dimension ref="A1:U41"/>
  <sheetViews>
    <sheetView zoomScale="55" zoomScaleNormal="55" workbookViewId="0">
      <pane ySplit="1" topLeftCell="A2" activePane="bottomLeft" state="frozen"/>
      <selection pane="bottomLeft" activeCell="E18" sqref="E18"/>
    </sheetView>
  </sheetViews>
  <sheetFormatPr defaultColWidth="15.4609375" defaultRowHeight="14.6" x14ac:dyDescent="0.4"/>
  <cols>
    <col min="1" max="1" width="14" style="12" customWidth="1"/>
    <col min="2" max="2" width="26.23046875" style="12" customWidth="1"/>
    <col min="3" max="5" width="15.3828125" style="12" customWidth="1"/>
    <col min="6" max="6" width="10.15234375" style="1" customWidth="1"/>
    <col min="7" max="7" width="10.23046875" style="1" customWidth="1"/>
    <col min="8" max="8" width="9.84375" style="1" customWidth="1"/>
    <col min="9" max="9" width="11" style="1" customWidth="1"/>
    <col min="10" max="10" width="10.921875" style="1" customWidth="1"/>
    <col min="11" max="11" width="11.84375" style="1" customWidth="1"/>
    <col min="12" max="12" width="9.15234375" style="1" customWidth="1"/>
    <col min="13" max="13" width="13.53515625" style="1" customWidth="1"/>
    <col min="14" max="14" width="13.69140625" style="1" customWidth="1"/>
    <col min="15" max="15" width="22.61328125" style="1" customWidth="1"/>
    <col min="16" max="16" width="9.61328125" style="1" customWidth="1"/>
    <col min="17" max="17" width="15" style="1" customWidth="1"/>
    <col min="18" max="16384" width="15.4609375" style="1"/>
  </cols>
  <sheetData>
    <row r="1" spans="1:21" ht="14.25" customHeight="1" x14ac:dyDescent="0.4">
      <c r="A1" s="13" t="s">
        <v>64</v>
      </c>
      <c r="B1" s="13" t="s">
        <v>65</v>
      </c>
      <c r="C1" s="13" t="s">
        <v>66</v>
      </c>
      <c r="D1" s="13" t="s">
        <v>120</v>
      </c>
      <c r="E1" s="13" t="s">
        <v>121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72</v>
      </c>
      <c r="L1" s="7" t="s">
        <v>73</v>
      </c>
      <c r="M1" s="7" t="s">
        <v>74</v>
      </c>
      <c r="N1" s="7" t="s">
        <v>75</v>
      </c>
      <c r="O1" s="7" t="s">
        <v>76</v>
      </c>
      <c r="P1" s="7" t="s">
        <v>77</v>
      </c>
      <c r="Q1" s="14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 ht="14.25" customHeight="1" x14ac:dyDescent="0.4">
      <c r="A2" s="15"/>
      <c r="B2" s="15"/>
      <c r="C2" s="16"/>
      <c r="D2" s="16"/>
      <c r="E2" s="16"/>
      <c r="F2" s="39" cm="1">
        <f t="array" ref="F2">IFERROR(_xlfn.LET(_xlpm.critOne,D2,_xlpm.critTwo,E2,_xlpm.la,MAX(0,T2),_xlpm.lb,MAX(0,U2)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2" s="4" t="e">
        <f>1/Tabela37[[#This Row],[Odd Mercado]]</f>
        <v>#DIV/0!</v>
      </c>
      <c r="I2" s="4">
        <f>(Tabela37[[#This Row],[P.Plan]]*0.45)+(Tabela37[[#This Row],[P.Font]]*0.55)</f>
        <v>0.44999999999999968</v>
      </c>
      <c r="J2" s="8">
        <f>1/Tabela37[[#This Row],[P.Comb]]</f>
        <v>2.2222222222222237</v>
      </c>
      <c r="L2" s="4">
        <f>(Tabela37[[#This Row],[Odd Mercado]]/Tabela37[[#This Row],[Odd Gatilho]])-1</f>
        <v>-1</v>
      </c>
      <c r="M2" s="17" t="str">
        <f t="shared" ref="M2:M40" si="0">IF(AND(I2&gt;60%,L2&gt;=-15%,L2&lt;=15%),"⭐Conferir",IF(L2&gt;15%,"✅✅ Forte Valor",IF(L2&gt;10%,"✅ Entra",IF(L2&gt;=0%,"🟡 Borderline",IF(L2&lt;-15%,"🔴 Evitar","❌ Sem valor")))))</f>
        <v>🔴 Evitar</v>
      </c>
      <c r="N2" s="18"/>
      <c r="O2" s="19" t="str">
        <f>IF(N2="","— digite a odd —",IF(N2&gt;=1.1/(1.1/Tabela37[[#This Row],[Odd Gatilho]]),"✅ ENTRA (edge "&amp;TEXT(N2*(1.1/Tabela37[[#This Row],[Odd Gatilho]])-1,"0%")&amp;")",IF(N2&gt;=1/(1.1/Tabela37[[#This Row],[Odd Gatilho]]),"🟡 break-even (edge "&amp;TEXT(N2*(1.1/Tabela37[[#This Row],[Odd Gatilho]])-1,"0%")&amp;")","❌ sem valor")))</f>
        <v>— digite a odd —</v>
      </c>
      <c r="P2" s="19" t="str">
        <f t="shared" ref="P2:P10" si="1">IF(OR(N2="",N2&lt;=1),"",IF(N2&lt;1/0.483,0,ROUND(MIN(3,MAX(0.5,0.25*((N2*0.483-1)/(N2-1))*10)),1)))</f>
        <v/>
      </c>
      <c r="Q2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2" s="1" t="e">
        <f t="shared" ref="R2:R40" si="2">SUBSTITUTE(TRIM(LEFT(A2,FIND(" x ",A2)-1)),"USA","USMNT")</f>
        <v>#VALUE!</v>
      </c>
      <c r="S2" s="1" t="e">
        <f t="shared" ref="S2:S40" si="3">SUBSTITUTE(TRIM(MID(A2,FIND(" x ",A2)+3,100)),"USA","USMNT")</f>
        <v>#VALUE!</v>
      </c>
      <c r="T2" s="1">
        <f>IFERROR(AVERAGE(INDEX('Jogos do Dia'!$O$2:$O$5,MATCH(R2&amp;"|"&amp;S2,'Jogos do Dia'!$AJ$2:$AJ$5,0)),INDEX('Jogos do Dia'!$P$2:$P$5,MATCH(S2&amp;"|"&amp;R2,'Jogos do Dia'!$AJ$2:$AJ$5,0))),1.2)</f>
        <v>1.2</v>
      </c>
      <c r="U2" s="1">
        <f>IFERROR(AVERAGE(INDEX('Jogos do Dia'!$O$2:$O$5,MATCH(S2&amp;"|"&amp;R2,'Jogos do Dia'!$AJ$2:$AJ$5,0)),INDEX('Jogos do Dia'!$P$2:$P$5,MATCH(R2&amp;"|"&amp;S2,'Jogos do Dia'!$AJ$2:$AJ$5,0))),1.2)</f>
        <v>1.2</v>
      </c>
    </row>
    <row r="3" spans="1:21" ht="14.25" customHeight="1" x14ac:dyDescent="0.4">
      <c r="A3" s="15"/>
      <c r="B3" s="15"/>
      <c r="C3" s="16"/>
      <c r="D3" s="16"/>
      <c r="E3" s="16"/>
      <c r="F3" s="39" cm="1">
        <f t="array" ref="F3">IFERROR(_xlfn.LET(_xlpm.critOne,D3,_xlpm.critTwo,E3,_xlpm.la,MAX(0,T3),_xlpm.lb,MAX(0,U3)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3" s="4" t="e">
        <f>1/Tabela37[[#This Row],[Odd Mercado]]</f>
        <v>#DIV/0!</v>
      </c>
      <c r="I3" s="4">
        <f>(Tabela37[[#This Row],[P.Plan]]*0.45)+(Tabela37[[#This Row],[P.Font]]*0.55)</f>
        <v>0.44999999999999968</v>
      </c>
      <c r="J3" s="8">
        <f>1/Tabela37[[#This Row],[P.Comb]]</f>
        <v>2.2222222222222237</v>
      </c>
      <c r="L3" s="4">
        <f>(Tabela37[[#This Row],[Odd Mercado]]/Tabela37[[#This Row],[Odd Gatilho]])-1</f>
        <v>-1</v>
      </c>
      <c r="M3" s="17" t="str">
        <f t="shared" si="0"/>
        <v>🔴 Evitar</v>
      </c>
      <c r="N3" s="18"/>
      <c r="O3" s="19" t="str">
        <f>IF(N3="","— digite a odd —",IF(N3&gt;=1.1/(1.1/Tabela37[[#This Row],[Odd Gatilho]]),"✅ ENTRA (edge "&amp;TEXT(N3*(1.1/Tabela37[[#This Row],[Odd Gatilho]])-1,"0%")&amp;")",IF(N3&gt;=1/(1.1/Tabela37[[#This Row],[Odd Gatilho]]),"🟡 break-even (edge "&amp;TEXT(N3*(1.1/Tabela37[[#This Row],[Odd Gatilho]])-1,"0%")&amp;")","❌ sem valor")))</f>
        <v>— digite a odd —</v>
      </c>
      <c r="P3" s="19" t="str">
        <f t="shared" si="1"/>
        <v/>
      </c>
      <c r="Q3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3" s="1" t="e">
        <f t="shared" si="2"/>
        <v>#VALUE!</v>
      </c>
      <c r="S3" s="1" t="e">
        <f t="shared" si="3"/>
        <v>#VALUE!</v>
      </c>
      <c r="T3" s="1">
        <f>IFERROR(AVERAGE(INDEX('Jogos do Dia'!$O$2:$O$5,MATCH(R3&amp;"|"&amp;S3,'Jogos do Dia'!$AJ$2:$AJ$5,0)),INDEX('Jogos do Dia'!$P$2:$P$5,MATCH(S3&amp;"|"&amp;R3,'Jogos do Dia'!$AJ$2:$AJ$5,0))),1.2)</f>
        <v>1.2</v>
      </c>
      <c r="U3" s="1">
        <f>IFERROR(AVERAGE(INDEX('Jogos do Dia'!$O$2:$O$5,MATCH(S3&amp;"|"&amp;R3,'Jogos do Dia'!$AJ$2:$AJ$5,0)),INDEX('Jogos do Dia'!$P$2:$P$5,MATCH(R3&amp;"|"&amp;S3,'Jogos do Dia'!$AJ$2:$AJ$5,0))),1.2)</f>
        <v>1.2</v>
      </c>
    </row>
    <row r="4" spans="1:21" ht="14.25" customHeight="1" x14ac:dyDescent="0.4">
      <c r="A4" s="15"/>
      <c r="B4" s="15"/>
      <c r="C4" s="20"/>
      <c r="D4" s="20"/>
      <c r="E4" s="20"/>
      <c r="F4" s="39" cm="1">
        <f t="array" ref="F4">IFERROR(_xlfn.LET(_xlpm.critOne,D4,_xlpm.critTwo,E4,_xlpm.la,MAX(0,T4),_xlpm.lb,MAX(0,U4)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4" s="4" t="e">
        <f>1/Tabela37[[#This Row],[Odd Mercado]]</f>
        <v>#DIV/0!</v>
      </c>
      <c r="I4" s="4">
        <f>(Tabela37[[#This Row],[P.Plan]]*0.45)+(Tabela37[[#This Row],[P.Font]]*0.55)</f>
        <v>0.44999999999999968</v>
      </c>
      <c r="J4" s="8">
        <f>1/Tabela37[[#This Row],[P.Comb]]</f>
        <v>2.2222222222222237</v>
      </c>
      <c r="L4" s="4">
        <f>(Tabela37[[#This Row],[Odd Mercado]]/Tabela37[[#This Row],[Odd Gatilho]])-1</f>
        <v>-1</v>
      </c>
      <c r="M4" s="17" t="str">
        <f t="shared" si="0"/>
        <v>🔴 Evitar</v>
      </c>
      <c r="N4" s="18"/>
      <c r="O4" s="19" t="str">
        <f>IF(N4="","— digite a odd —",IF(N4&gt;=1.1/(1.1/Tabela37[[#This Row],[Odd Gatilho]]),"✅ ENTRA (edge "&amp;TEXT(N4*(1.1/Tabela37[[#This Row],[Odd Gatilho]])-1,"0%")&amp;")",IF(N4&gt;=1/(1.1/Tabela37[[#This Row],[Odd Gatilho]]),"🟡 break-even (edge "&amp;TEXT(N4*(1.1/Tabela37[[#This Row],[Odd Gatilho]])-1,"0%")&amp;")","❌ sem valor")))</f>
        <v>— digite a odd —</v>
      </c>
      <c r="P4" s="19" t="str">
        <f t="shared" si="1"/>
        <v/>
      </c>
      <c r="Q4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4" s="1" t="e">
        <f t="shared" si="2"/>
        <v>#VALUE!</v>
      </c>
      <c r="S4" s="1" t="e">
        <f t="shared" si="3"/>
        <v>#VALUE!</v>
      </c>
      <c r="T4" s="1">
        <f>IFERROR(AVERAGE(INDEX('Jogos do Dia'!$O$2:$O$5,MATCH(R4&amp;"|"&amp;S4,'Jogos do Dia'!$AJ$2:$AJ$5,0)),INDEX('Jogos do Dia'!$P$2:$P$5,MATCH(S4&amp;"|"&amp;R4,'Jogos do Dia'!$AJ$2:$AJ$5,0))),1.2)</f>
        <v>1.2</v>
      </c>
      <c r="U4" s="1">
        <f>IFERROR(AVERAGE(INDEX('Jogos do Dia'!$O$2:$O$5,MATCH(S4&amp;"|"&amp;R4,'Jogos do Dia'!$AJ$2:$AJ$5,0)),INDEX('Jogos do Dia'!$P$2:$P$5,MATCH(R4&amp;"|"&amp;S4,'Jogos do Dia'!$AJ$2:$AJ$5,0))),1.2)</f>
        <v>1.2</v>
      </c>
    </row>
    <row r="5" spans="1:21" ht="14.25" customHeight="1" x14ac:dyDescent="0.4">
      <c r="A5" s="15"/>
      <c r="B5" s="15"/>
      <c r="C5" s="20"/>
      <c r="D5" s="20"/>
      <c r="E5" s="20"/>
      <c r="F5" s="39" cm="1">
        <f t="array" ref="F5">IFERROR(_xlfn.LET(_xlpm.critOne,D5,_xlpm.critTwo,E5,_xlpm.la,MAX(0,T5),_xlpm.lb,MAX(0,U5)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5" s="4" t="e">
        <f>1/Tabela37[[#This Row],[Odd Mercado]]</f>
        <v>#DIV/0!</v>
      </c>
      <c r="I5" s="4">
        <f>(Tabela37[[#This Row],[P.Plan]]*0.45)+(Tabela37[[#This Row],[P.Font]]*0.55)</f>
        <v>0.44999999999999968</v>
      </c>
      <c r="J5" s="8">
        <f>1/Tabela37[[#This Row],[P.Comb]]</f>
        <v>2.2222222222222237</v>
      </c>
      <c r="L5" s="4">
        <f>(Tabela37[[#This Row],[Odd Mercado]]/Tabela37[[#This Row],[Odd Gatilho]])-1</f>
        <v>-1</v>
      </c>
      <c r="M5" s="17" t="str">
        <f t="shared" si="0"/>
        <v>🔴 Evitar</v>
      </c>
      <c r="N5" s="18"/>
      <c r="O5" s="19" t="str">
        <f>IF(N5="","— digite a odd —",IF(N5&gt;=1.1/(1.1/Tabela37[[#This Row],[Odd Gatilho]]),"✅ ENTRA (edge "&amp;TEXT(N5*(1.1/Tabela37[[#This Row],[Odd Gatilho]])-1,"0%")&amp;")",IF(N5&gt;=1/(1.1/Tabela37[[#This Row],[Odd Gatilho]]),"🟡 break-even (edge "&amp;TEXT(N5*(1.1/Tabela37[[#This Row],[Odd Gatilho]])-1,"0%")&amp;")","❌ sem valor")))</f>
        <v>— digite a odd —</v>
      </c>
      <c r="P5" s="19" t="str">
        <f t="shared" si="1"/>
        <v/>
      </c>
      <c r="Q5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5" s="1" t="e">
        <f t="shared" si="2"/>
        <v>#VALUE!</v>
      </c>
      <c r="S5" s="1" t="e">
        <f t="shared" si="3"/>
        <v>#VALUE!</v>
      </c>
      <c r="T5" s="1">
        <f>IFERROR(AVERAGE(INDEX('Jogos do Dia'!$O$2:$O$5,MATCH(R5&amp;"|"&amp;S5,'Jogos do Dia'!$AJ$2:$AJ$5,0)),INDEX('Jogos do Dia'!$P$2:$P$5,MATCH(S5&amp;"|"&amp;R5,'Jogos do Dia'!$AJ$2:$AJ$5,0))),1.2)</f>
        <v>1.2</v>
      </c>
      <c r="U5" s="1">
        <f>IFERROR(AVERAGE(INDEX('Jogos do Dia'!$O$2:$O$5,MATCH(S5&amp;"|"&amp;R5,'Jogos do Dia'!$AJ$2:$AJ$5,0)),INDEX('Jogos do Dia'!$P$2:$P$5,MATCH(R5&amp;"|"&amp;S5,'Jogos do Dia'!$AJ$2:$AJ$5,0))),1.2)</f>
        <v>1.2</v>
      </c>
    </row>
    <row r="6" spans="1:21" ht="14.25" customHeight="1" x14ac:dyDescent="0.4">
      <c r="A6" s="15"/>
      <c r="B6" s="15"/>
      <c r="C6" s="20"/>
      <c r="D6" s="20"/>
      <c r="E6" s="20"/>
      <c r="F6" s="39" cm="1">
        <f t="array" ref="F6">IFERROR(_xlfn.LET(_xlpm.critOne,D6,_xlpm.critTwo,E6,_xlpm.la,MAX(0,T6),_xlpm.lb,MAX(0,U6)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6" s="4" t="e">
        <f>1/Tabela37[[#This Row],[Odd Mercado]]</f>
        <v>#DIV/0!</v>
      </c>
      <c r="I6" s="4">
        <f>(Tabela37[[#This Row],[P.Plan]]*0.45)+(Tabela37[[#This Row],[P.Font]]*0.55)</f>
        <v>0.44999999999999968</v>
      </c>
      <c r="J6" s="8">
        <f>1/Tabela37[[#This Row],[P.Comb]]</f>
        <v>2.2222222222222237</v>
      </c>
      <c r="L6" s="4">
        <f>(Tabela37[[#This Row],[Odd Mercado]]/Tabela37[[#This Row],[Odd Gatilho]])-1</f>
        <v>-1</v>
      </c>
      <c r="M6" s="17" t="str">
        <f t="shared" si="0"/>
        <v>🔴 Evitar</v>
      </c>
      <c r="N6" s="18"/>
      <c r="O6" s="19" t="str">
        <f>IF(N6="","— digite a odd —",IF(N6&gt;=1.1/(1.1/Tabela37[[#This Row],[Odd Gatilho]]),"✅ ENTRA (edge "&amp;TEXT(N6*(1.1/Tabela37[[#This Row],[Odd Gatilho]])-1,"0%")&amp;")",IF(N6&gt;=1/(1.1/Tabela37[[#This Row],[Odd Gatilho]]),"🟡 break-even (edge "&amp;TEXT(N6*(1.1/Tabela37[[#This Row],[Odd Gatilho]])-1,"0%")&amp;")","❌ sem valor")))</f>
        <v>— digite a odd —</v>
      </c>
      <c r="P6" s="19" t="str">
        <f t="shared" si="1"/>
        <v/>
      </c>
      <c r="Q6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6" s="1" t="e">
        <f t="shared" si="2"/>
        <v>#VALUE!</v>
      </c>
      <c r="S6" s="1" t="e">
        <f t="shared" si="3"/>
        <v>#VALUE!</v>
      </c>
      <c r="T6" s="1">
        <f>IFERROR(AVERAGE(INDEX('Jogos do Dia'!$O$2:$O$5,MATCH(R6&amp;"|"&amp;S6,'Jogos do Dia'!$AJ$2:$AJ$5,0)),INDEX('Jogos do Dia'!$P$2:$P$5,MATCH(S6&amp;"|"&amp;R6,'Jogos do Dia'!$AJ$2:$AJ$5,0))),1.2)</f>
        <v>1.2</v>
      </c>
      <c r="U6" s="1">
        <f>IFERROR(AVERAGE(INDEX('Jogos do Dia'!$O$2:$O$5,MATCH(S6&amp;"|"&amp;R6,'Jogos do Dia'!$AJ$2:$AJ$5,0)),INDEX('Jogos do Dia'!$P$2:$P$5,MATCH(R6&amp;"|"&amp;S6,'Jogos do Dia'!$AJ$2:$AJ$5,0))),1.2)</f>
        <v>1.2</v>
      </c>
    </row>
    <row r="7" spans="1:21" ht="14.25" customHeight="1" x14ac:dyDescent="0.4">
      <c r="A7" s="15"/>
      <c r="B7" s="15"/>
      <c r="C7" s="21"/>
      <c r="D7" s="21"/>
      <c r="E7" s="21"/>
      <c r="F7" s="39" cm="1">
        <f t="array" ref="F7">IFERROR(_xlfn.LET(_xlpm.critOne,D7,_xlpm.critTwo,E7,_xlpm.la,MAX(0,T7),_xlpm.lb,MAX(0,U7)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7" s="4" t="e">
        <f>1/Tabela37[[#This Row],[Odd Mercado]]</f>
        <v>#DIV/0!</v>
      </c>
      <c r="I7" s="4">
        <f>(Tabela37[[#This Row],[P.Plan]]*0.45)+(Tabela37[[#This Row],[P.Font]]*0.55)</f>
        <v>0.44999999999999968</v>
      </c>
      <c r="J7" s="8">
        <f>1/Tabela37[[#This Row],[P.Comb]]</f>
        <v>2.2222222222222237</v>
      </c>
      <c r="L7" s="4">
        <f>(Tabela37[[#This Row],[Odd Mercado]]/Tabela37[[#This Row],[Odd Gatilho]])-1</f>
        <v>-1</v>
      </c>
      <c r="M7" s="17" t="str">
        <f t="shared" si="0"/>
        <v>🔴 Evitar</v>
      </c>
      <c r="N7" s="18"/>
      <c r="O7" s="19" t="str">
        <f>IF(N7="","— digite a odd —",IF(N7&gt;=1.1/(1.1/Tabela37[[#This Row],[Odd Gatilho]]),"✅ ENTRA (edge "&amp;TEXT(N7*(1.1/Tabela37[[#This Row],[Odd Gatilho]])-1,"0%")&amp;")",IF(N7&gt;=1/(1.1/Tabela37[[#This Row],[Odd Gatilho]]),"🟡 break-even (edge "&amp;TEXT(N7*(1.1/Tabela37[[#This Row],[Odd Gatilho]])-1,"0%")&amp;")","❌ sem valor")))</f>
        <v>— digite a odd —</v>
      </c>
      <c r="P7" s="19" t="str">
        <f t="shared" si="1"/>
        <v/>
      </c>
      <c r="Q7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7" s="1" t="e">
        <f t="shared" si="2"/>
        <v>#VALUE!</v>
      </c>
      <c r="S7" s="1" t="e">
        <f t="shared" si="3"/>
        <v>#VALUE!</v>
      </c>
      <c r="T7" s="1">
        <f>IFERROR(AVERAGE(INDEX('Jogos do Dia'!$O$2:$O$5,MATCH(R7&amp;"|"&amp;S7,'Jogos do Dia'!$AJ$2:$AJ$5,0)),INDEX('Jogos do Dia'!$P$2:$P$5,MATCH(S7&amp;"|"&amp;R7,'Jogos do Dia'!$AJ$2:$AJ$5,0))),1.2)</f>
        <v>1.2</v>
      </c>
      <c r="U7" s="1">
        <f>IFERROR(AVERAGE(INDEX('Jogos do Dia'!$O$2:$O$5,MATCH(S7&amp;"|"&amp;R7,'Jogos do Dia'!$AJ$2:$AJ$5,0)),INDEX('Jogos do Dia'!$P$2:$P$5,MATCH(R7&amp;"|"&amp;S7,'Jogos do Dia'!$AJ$2:$AJ$5,0))),1.2)</f>
        <v>1.2</v>
      </c>
    </row>
    <row r="8" spans="1:21" ht="14.25" customHeight="1" x14ac:dyDescent="0.4">
      <c r="A8" s="15"/>
      <c r="B8" s="15"/>
      <c r="C8" s="21"/>
      <c r="D8" s="21"/>
      <c r="E8" s="21"/>
      <c r="F8" s="39" cm="1">
        <f t="array" ref="F8">IFERROR(_xlfn.LET(_xlpm.critOne,D8,_xlpm.critTwo,E8,_xlpm.la,MAX(0,T8),_xlpm.lb,MAX(0,U8)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8" s="4" t="e">
        <f>1/Tabela37[[#This Row],[Odd Mercado]]</f>
        <v>#DIV/0!</v>
      </c>
      <c r="I8" s="4">
        <f>(Tabela37[[#This Row],[P.Plan]]*0.45)+(Tabela37[[#This Row],[P.Font]]*0.55)</f>
        <v>0.44999999999999968</v>
      </c>
      <c r="J8" s="8">
        <f>1/Tabela37[[#This Row],[P.Comb]]</f>
        <v>2.2222222222222237</v>
      </c>
      <c r="L8" s="4">
        <f>(Tabela37[[#This Row],[Odd Mercado]]/Tabela37[[#This Row],[Odd Gatilho]])-1</f>
        <v>-1</v>
      </c>
      <c r="M8" s="17" t="str">
        <f t="shared" si="0"/>
        <v>🔴 Evitar</v>
      </c>
      <c r="N8" s="18"/>
      <c r="O8" s="19" t="str">
        <f>IF(N8="","— digite a odd —",IF(N8&gt;=1.1/(1.1/Tabela37[[#This Row],[Odd Gatilho]]),"✅ ENTRA (edge "&amp;TEXT(N8*(1.1/Tabela37[[#This Row],[Odd Gatilho]])-1,"0%")&amp;")",IF(N8&gt;=1/(1.1/Tabela37[[#This Row],[Odd Gatilho]]),"🟡 break-even (edge "&amp;TEXT(N8*(1.1/Tabela37[[#This Row],[Odd Gatilho]])-1,"0%")&amp;")","❌ sem valor")))</f>
        <v>— digite a odd —</v>
      </c>
      <c r="P8" s="19" t="str">
        <f t="shared" si="1"/>
        <v/>
      </c>
      <c r="Q8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8" s="1" t="e">
        <f t="shared" si="2"/>
        <v>#VALUE!</v>
      </c>
      <c r="S8" s="1" t="e">
        <f t="shared" si="3"/>
        <v>#VALUE!</v>
      </c>
      <c r="T8" s="1">
        <f>IFERROR(AVERAGE(INDEX('Jogos do Dia'!$O$2:$O$5,MATCH(R8&amp;"|"&amp;S8,'Jogos do Dia'!$AJ$2:$AJ$5,0)),INDEX('Jogos do Dia'!$P$2:$P$5,MATCH(S8&amp;"|"&amp;R8,'Jogos do Dia'!$AJ$2:$AJ$5,0))),1.2)</f>
        <v>1.2</v>
      </c>
      <c r="U8" s="1">
        <f>IFERROR(AVERAGE(INDEX('Jogos do Dia'!$O$2:$O$5,MATCH(S8&amp;"|"&amp;R8,'Jogos do Dia'!$AJ$2:$AJ$5,0)),INDEX('Jogos do Dia'!$P$2:$P$5,MATCH(R8&amp;"|"&amp;S8,'Jogos do Dia'!$AJ$2:$AJ$5,0))),1.2)</f>
        <v>1.2</v>
      </c>
    </row>
    <row r="9" spans="1:21" ht="14.25" customHeight="1" x14ac:dyDescent="0.4">
      <c r="A9" s="15"/>
      <c r="B9" s="15"/>
      <c r="C9" s="22"/>
      <c r="D9" s="22"/>
      <c r="E9" s="22"/>
      <c r="F9" s="39" cm="1">
        <f t="array" ref="F9">IFERROR(_xlfn.LET(_xlpm.critOne,D9,_xlpm.critTwo,E9,_xlpm.la,MAX(0,T9),_xlpm.lb,MAX(0,U9)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9" s="4" t="e">
        <f>1/Tabela37[[#This Row],[Odd Mercado]]</f>
        <v>#DIV/0!</v>
      </c>
      <c r="I9" s="4">
        <f>(Tabela37[[#This Row],[P.Plan]]*0.45)+(Tabela37[[#This Row],[P.Font]]*0.55)</f>
        <v>0.44999999999999968</v>
      </c>
      <c r="J9" s="8">
        <f>1/Tabela37[[#This Row],[P.Comb]]</f>
        <v>2.2222222222222237</v>
      </c>
      <c r="L9" s="4">
        <f>(Tabela37[[#This Row],[Odd Mercado]]/Tabela37[[#This Row],[Odd Gatilho]])-1</f>
        <v>-1</v>
      </c>
      <c r="M9" s="17" t="str">
        <f t="shared" si="0"/>
        <v>🔴 Evitar</v>
      </c>
      <c r="N9" s="18"/>
      <c r="O9" s="19" t="str">
        <f>IF(N9="","— digite a odd —",IF(N9&gt;=1.1/(1.1/Tabela37[[#This Row],[Odd Gatilho]]),"✅ ENTRA (edge "&amp;TEXT(N9*(1.1/Tabela37[[#This Row],[Odd Gatilho]])-1,"0%")&amp;")",IF(N9&gt;=1/(1.1/Tabela37[[#This Row],[Odd Gatilho]]),"🟡 break-even (edge "&amp;TEXT(N9*(1.1/Tabela37[[#This Row],[Odd Gatilho]])-1,"0%")&amp;")","❌ sem valor")))</f>
        <v>— digite a odd —</v>
      </c>
      <c r="P9" s="19" t="str">
        <f t="shared" si="1"/>
        <v/>
      </c>
      <c r="Q9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9" s="1" t="e">
        <f t="shared" si="2"/>
        <v>#VALUE!</v>
      </c>
      <c r="S9" s="1" t="e">
        <f t="shared" si="3"/>
        <v>#VALUE!</v>
      </c>
      <c r="T9" s="1">
        <f>IFERROR(AVERAGE(INDEX('Jogos do Dia'!$O$2:$O$5,MATCH(R9&amp;"|"&amp;S9,'Jogos do Dia'!$AJ$2:$AJ$5,0)),INDEX('Jogos do Dia'!$P$2:$P$5,MATCH(S9&amp;"|"&amp;R9,'Jogos do Dia'!$AJ$2:$AJ$5,0))),1.2)</f>
        <v>1.2</v>
      </c>
      <c r="U9" s="1">
        <f>IFERROR(AVERAGE(INDEX('Jogos do Dia'!$O$2:$O$5,MATCH(S9&amp;"|"&amp;R9,'Jogos do Dia'!$AJ$2:$AJ$5,0)),INDEX('Jogos do Dia'!$P$2:$P$5,MATCH(R9&amp;"|"&amp;S9,'Jogos do Dia'!$AJ$2:$AJ$5,0))),1.2)</f>
        <v>1.2</v>
      </c>
    </row>
    <row r="10" spans="1:21" ht="14.25" customHeight="1" x14ac:dyDescent="0.4">
      <c r="A10" s="15"/>
      <c r="B10" s="15"/>
      <c r="C10" s="22"/>
      <c r="D10" s="22"/>
      <c r="E10" s="22"/>
      <c r="F10" s="39" cm="1">
        <f t="array" ref="F10">IFERROR(_xlfn.LET(_xlpm.critOne,D10,_xlpm.critTwo,E10,_xlpm.la,MAX(0,T10),_xlpm.lb,MAX(0,U10)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10" s="4" t="e">
        <f>1/Tabela37[[#This Row],[Odd Mercado]]</f>
        <v>#DIV/0!</v>
      </c>
      <c r="I10" s="4">
        <f>(Tabela37[[#This Row],[P.Plan]]*0.45)+(Tabela37[[#This Row],[P.Font]]*0.55)</f>
        <v>0.44999999999999968</v>
      </c>
      <c r="J10" s="8">
        <f>1/Tabela37[[#This Row],[P.Comb]]</f>
        <v>2.2222222222222237</v>
      </c>
      <c r="L10" s="4">
        <f>(Tabela37[[#This Row],[Odd Mercado]]/Tabela37[[#This Row],[Odd Gatilho]])-1</f>
        <v>-1</v>
      </c>
      <c r="M10" s="17" t="str">
        <f t="shared" si="0"/>
        <v>🔴 Evitar</v>
      </c>
      <c r="N10" s="18"/>
      <c r="O10" s="19" t="str">
        <f>IF(N10="","— digite a odd —",IF(N10&gt;=1.1/(1.1/Tabela37[[#This Row],[Odd Gatilho]]),"✅ ENTRA (edge "&amp;TEXT(N10*(1.1/Tabela37[[#This Row],[Odd Gatilho]])-1,"0%")&amp;")",IF(N10&gt;=1/(1.1/Tabela37[[#This Row],[Odd Gatilho]]),"🟡 break-even (edge "&amp;TEXT(N10*(1.1/Tabela37[[#This Row],[Odd Gatilho]])-1,"0%")&amp;")","❌ sem valor")))</f>
        <v>— digite a odd —</v>
      </c>
      <c r="P10" s="19" t="str">
        <f t="shared" si="1"/>
        <v/>
      </c>
      <c r="Q10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10" s="1" t="e">
        <f t="shared" si="2"/>
        <v>#VALUE!</v>
      </c>
      <c r="S10" s="1" t="e">
        <f t="shared" si="3"/>
        <v>#VALUE!</v>
      </c>
      <c r="T10" s="1">
        <f>IFERROR(AVERAGE(INDEX('Jogos do Dia'!$O$2:$O$5,MATCH(R10&amp;"|"&amp;S10,'Jogos do Dia'!$AJ$2:$AJ$5,0)),INDEX('Jogos do Dia'!$P$2:$P$5,MATCH(S10&amp;"|"&amp;R10,'Jogos do Dia'!$AJ$2:$AJ$5,0))),1.2)</f>
        <v>1.2</v>
      </c>
      <c r="U10" s="1">
        <f>IFERROR(AVERAGE(INDEX('Jogos do Dia'!$O$2:$O$5,MATCH(S10&amp;"|"&amp;R10,'Jogos do Dia'!$AJ$2:$AJ$5,0)),INDEX('Jogos do Dia'!$P$2:$P$5,MATCH(R10&amp;"|"&amp;S10,'Jogos do Dia'!$AJ$2:$AJ$5,0))),1.2)</f>
        <v>1.2</v>
      </c>
    </row>
    <row r="11" spans="1:21" ht="14.25" customHeight="1" x14ac:dyDescent="0.4">
      <c r="A11" s="15"/>
      <c r="B11" s="15"/>
      <c r="C11" s="23"/>
      <c r="D11" s="23"/>
      <c r="E11" s="23"/>
      <c r="F11" s="39" cm="1">
        <f t="array" ref="F11">IFERROR(_xlfn.LET(_xlpm.critOne,D11,_xlpm.critTwo,E11,_xlpm.la,MAX(0,T11),_xlpm.lb,MAX(0,U11)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11" s="4" t="e">
        <f>1/Tabela37[[#This Row],[Odd Mercado]]</f>
        <v>#DIV/0!</v>
      </c>
      <c r="I11" s="4">
        <f>(Tabela37[[#This Row],[P.Plan]]*0.45)+(Tabela37[[#This Row],[P.Font]]*0.55)</f>
        <v>0.44999999999999968</v>
      </c>
      <c r="J11" s="8">
        <f>1/Tabela37[[#This Row],[P.Comb]]</f>
        <v>2.2222222222222237</v>
      </c>
      <c r="L11" s="4">
        <f>(Tabela37[[#This Row],[Odd Mercado]]/Tabela37[[#This Row],[Odd Gatilho]])-1</f>
        <v>-1</v>
      </c>
      <c r="M11" s="17" t="str">
        <f t="shared" si="0"/>
        <v>🔴 Evitar</v>
      </c>
      <c r="N11" s="24"/>
      <c r="O11" s="19" t="str">
        <f>IF(N12="","— digite a odd —",IF(N12&gt;=1.1/(1.1/Tabela37[[#This Row],[Odd Gatilho]]),"✅ ENTRA (edge "&amp;TEXT(N12*(1.1/Tabela37[[#This Row],[Odd Gatilho]])-1,"0%")&amp;")",IF(N12&gt;=1/(1.1/Tabela37[[#This Row],[Odd Gatilho]]),"🟡 break-even (edge "&amp;TEXT(N12*(1.1/Tabela37[[#This Row],[Odd Gatilho]])-1,"0%")&amp;")","❌ sem valor")))</f>
        <v>— digite a odd —</v>
      </c>
      <c r="P11" s="25" t="str">
        <f t="shared" ref="P11:P40" si="4">IF(OR(N12="",N12&lt;=1),"",IF(N12&lt;1/0.483,0,ROUND(MIN(3,MAX(0.5,0.25*((N12*0.483-1)/(N12-1))*10)),1)))</f>
        <v/>
      </c>
      <c r="Q11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11" s="1" t="e">
        <f t="shared" si="2"/>
        <v>#VALUE!</v>
      </c>
      <c r="S11" s="1" t="e">
        <f t="shared" si="3"/>
        <v>#VALUE!</v>
      </c>
      <c r="T11" s="1">
        <f>IFERROR(AVERAGE(INDEX('Jogos do Dia'!$O$2:$O$5,MATCH(R11&amp;"|"&amp;S11,'Jogos do Dia'!$AJ$2:$AJ$5,0)),INDEX('Jogos do Dia'!$P$2:$P$5,MATCH(S11&amp;"|"&amp;R11,'Jogos do Dia'!$AJ$2:$AJ$5,0))),1.2)</f>
        <v>1.2</v>
      </c>
      <c r="U11" s="1">
        <f>IFERROR(AVERAGE(INDEX('Jogos do Dia'!$O$2:$O$5,MATCH(S11&amp;"|"&amp;R11,'Jogos do Dia'!$AJ$2:$AJ$5,0)),INDEX('Jogos do Dia'!$P$2:$P$5,MATCH(R11&amp;"|"&amp;S11,'Jogos do Dia'!$AJ$2:$AJ$5,0))),1.2)</f>
        <v>1.2</v>
      </c>
    </row>
    <row r="12" spans="1:21" ht="14.25" customHeight="1" x14ac:dyDescent="0.4">
      <c r="A12" s="15"/>
      <c r="B12" s="15"/>
      <c r="C12" s="23"/>
      <c r="D12" s="23"/>
      <c r="E12" s="23"/>
      <c r="F12" s="39" cm="1">
        <f t="array" ref="F12">IFERROR(_xlfn.LET(_xlpm.critOne,D12,_xlpm.critTwo,E12,_xlpm.la,MAX(0,T12),_xlpm.lb,MAX(0,U12)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12" s="4" t="e">
        <f>1/Tabela37[[#This Row],[Odd Mercado]]</f>
        <v>#DIV/0!</v>
      </c>
      <c r="I12" s="4">
        <f>(Tabela37[[#This Row],[P.Plan]]*0.45)+(Tabela37[[#This Row],[P.Font]]*0.55)</f>
        <v>0.44999999999999968</v>
      </c>
      <c r="J12" s="8">
        <f>1/Tabela37[[#This Row],[P.Comb]]</f>
        <v>2.2222222222222237</v>
      </c>
      <c r="L12" s="4">
        <f>(Tabela37[[#This Row],[Odd Mercado]]/Tabela37[[#This Row],[Odd Gatilho]])-1</f>
        <v>-1</v>
      </c>
      <c r="M12" s="17" t="str">
        <f t="shared" si="0"/>
        <v>🔴 Evitar</v>
      </c>
      <c r="N12" s="26"/>
      <c r="O12" s="19" t="str">
        <f>IF(N13="","— digite a odd —",IF(N13&gt;=1.1/(1.1/Tabela37[[#This Row],[Odd Gatilho]]),"✅ ENTRA (edge "&amp;TEXT(N13*(1.1/Tabela37[[#This Row],[Odd Gatilho]])-1,"0%")&amp;")",IF(N13&gt;=1/(1.1/Tabela37[[#This Row],[Odd Gatilho]]),"🟡 break-even (edge "&amp;TEXT(N13*(1.1/Tabela37[[#This Row],[Odd Gatilho]])-1,"0%")&amp;")","❌ sem valor")))</f>
        <v>— digite a odd —</v>
      </c>
      <c r="P12" s="19" t="str">
        <f t="shared" si="4"/>
        <v/>
      </c>
      <c r="Q12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12" s="1" t="e">
        <f t="shared" si="2"/>
        <v>#VALUE!</v>
      </c>
      <c r="S12" s="1" t="e">
        <f t="shared" si="3"/>
        <v>#VALUE!</v>
      </c>
      <c r="T12" s="1">
        <f>IFERROR(AVERAGE(INDEX('Jogos do Dia'!$O$2:$O$5,MATCH(R12&amp;"|"&amp;S12,'Jogos do Dia'!$AJ$2:$AJ$5,0)),INDEX('Jogos do Dia'!$P$2:$P$5,MATCH(S12&amp;"|"&amp;R12,'Jogos do Dia'!$AJ$2:$AJ$5,0))),1.2)</f>
        <v>1.2</v>
      </c>
      <c r="U12" s="1">
        <f>IFERROR(AVERAGE(INDEX('Jogos do Dia'!$O$2:$O$5,MATCH(S12&amp;"|"&amp;R12,'Jogos do Dia'!$AJ$2:$AJ$5,0)),INDEX('Jogos do Dia'!$P$2:$P$5,MATCH(R12&amp;"|"&amp;S12,'Jogos do Dia'!$AJ$2:$AJ$5,0))),1.2)</f>
        <v>1.2</v>
      </c>
    </row>
    <row r="13" spans="1:21" ht="14.25" customHeight="1" x14ac:dyDescent="0.4">
      <c r="A13" s="15"/>
      <c r="B13" s="15"/>
      <c r="C13" s="23"/>
      <c r="D13" s="23"/>
      <c r="E13" s="23"/>
      <c r="F13" s="39" cm="1">
        <f t="array" ref="F13">IFERROR(_xlfn.LET(_xlpm.critOne,D13,_xlpm.critTwo,E13,_xlpm.la,MAX(0,T13),_xlpm.lb,MAX(0,U13)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13" s="4" t="e">
        <f>1/Tabela37[[#This Row],[Odd Mercado]]</f>
        <v>#DIV/0!</v>
      </c>
      <c r="I13" s="4">
        <f>(Tabela37[[#This Row],[P.Plan]]*0.45)+(Tabela37[[#This Row],[P.Font]]*0.55)</f>
        <v>0.44999999999999968</v>
      </c>
      <c r="J13" s="8">
        <f>1/Tabela37[[#This Row],[P.Comb]]</f>
        <v>2.2222222222222237</v>
      </c>
      <c r="L13" s="4">
        <f>(Tabela37[[#This Row],[Odd Mercado]]/Tabela37[[#This Row],[Odd Gatilho]])-1</f>
        <v>-1</v>
      </c>
      <c r="M13" s="17" t="str">
        <f t="shared" si="0"/>
        <v>🔴 Evitar</v>
      </c>
      <c r="N13" s="26"/>
      <c r="O13" s="19" t="str">
        <f>IF(N14="","— digite a odd —",IF(N14&gt;=1.1/(1.1/Tabela37[[#This Row],[Odd Gatilho]]),"✅ ENTRA (edge "&amp;TEXT(N14*(1.1/Tabela37[[#This Row],[Odd Gatilho]])-1,"0%")&amp;")",IF(N14&gt;=1/(1.1/Tabela37[[#This Row],[Odd Gatilho]]),"🟡 break-even (edge "&amp;TEXT(N14*(1.1/Tabela37[[#This Row],[Odd Gatilho]])-1,"0%")&amp;")","❌ sem valor")))</f>
        <v>— digite a odd —</v>
      </c>
      <c r="P13" s="19" t="str">
        <f t="shared" si="4"/>
        <v/>
      </c>
      <c r="Q13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13" s="1" t="e">
        <f t="shared" si="2"/>
        <v>#VALUE!</v>
      </c>
      <c r="S13" s="1" t="e">
        <f t="shared" si="3"/>
        <v>#VALUE!</v>
      </c>
      <c r="T13" s="1">
        <f>IFERROR(AVERAGE(INDEX('Jogos do Dia'!$O$2:$O$5,MATCH(R13&amp;"|"&amp;S13,'Jogos do Dia'!$AJ$2:$AJ$5,0)),INDEX('Jogos do Dia'!$P$2:$P$5,MATCH(S13&amp;"|"&amp;R13,'Jogos do Dia'!$AJ$2:$AJ$5,0))),1.2)</f>
        <v>1.2</v>
      </c>
      <c r="U13" s="1">
        <f>IFERROR(AVERAGE(INDEX('Jogos do Dia'!$O$2:$O$5,MATCH(S13&amp;"|"&amp;R13,'Jogos do Dia'!$AJ$2:$AJ$5,0)),INDEX('Jogos do Dia'!$P$2:$P$5,MATCH(R13&amp;"|"&amp;S13,'Jogos do Dia'!$AJ$2:$AJ$5,0))),1.2)</f>
        <v>1.2</v>
      </c>
    </row>
    <row r="14" spans="1:21" ht="14.25" customHeight="1" x14ac:dyDescent="0.4">
      <c r="A14" s="15"/>
      <c r="B14" s="15"/>
      <c r="C14" s="27"/>
      <c r="D14" s="27"/>
      <c r="E14" s="27"/>
      <c r="F14" s="39" cm="1">
        <f t="array" ref="F14">IFERROR(_xlfn.LET(_xlpm.critOne,D14,_xlpm.critTwo,E14,_xlpm.la,MAX(0,T14),_xlpm.lb,MAX(0,U14)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14" s="4" t="e">
        <f>1/Tabela37[[#This Row],[Odd Mercado]]</f>
        <v>#DIV/0!</v>
      </c>
      <c r="I14" s="4">
        <f>(Tabela37[[#This Row],[P.Plan]]*0.45)+(Tabela37[[#This Row],[P.Font]]*0.55)</f>
        <v>0.44999999999999968</v>
      </c>
      <c r="J14" s="8">
        <f>1/Tabela37[[#This Row],[P.Comb]]</f>
        <v>2.2222222222222237</v>
      </c>
      <c r="L14" s="4">
        <f>(Tabela37[[#This Row],[Odd Mercado]]/Tabela37[[#This Row],[Odd Gatilho]])-1</f>
        <v>-1</v>
      </c>
      <c r="M14" s="17" t="str">
        <f t="shared" si="0"/>
        <v>🔴 Evitar</v>
      </c>
      <c r="N14" s="26"/>
      <c r="O14" s="19" t="str">
        <f>IF(N15="","— digite a odd —",IF(N15&gt;=1.1/(1.1/Tabela37[[#This Row],[Odd Gatilho]]),"✅ ENTRA (edge "&amp;TEXT(N15*(1.1/Tabela37[[#This Row],[Odd Gatilho]])-1,"0%")&amp;")",IF(N15&gt;=1/(1.1/Tabela37[[#This Row],[Odd Gatilho]]),"🟡 break-even (edge "&amp;TEXT(N15*(1.1/Tabela37[[#This Row],[Odd Gatilho]])-1,"0%")&amp;")","❌ sem valor")))</f>
        <v>— digite a odd —</v>
      </c>
      <c r="P14" s="19" t="str">
        <f t="shared" si="4"/>
        <v/>
      </c>
      <c r="Q14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14" s="1" t="e">
        <f t="shared" si="2"/>
        <v>#VALUE!</v>
      </c>
      <c r="S14" s="1" t="e">
        <f t="shared" si="3"/>
        <v>#VALUE!</v>
      </c>
      <c r="T14" s="1">
        <f>IFERROR(AVERAGE(INDEX('Jogos do Dia'!$O$2:$O$5,MATCH(R14&amp;"|"&amp;S14,'Jogos do Dia'!$AJ$2:$AJ$5,0)),INDEX('Jogos do Dia'!$P$2:$P$5,MATCH(S14&amp;"|"&amp;R14,'Jogos do Dia'!$AJ$2:$AJ$5,0))),1.2)</f>
        <v>1.2</v>
      </c>
      <c r="U14" s="1">
        <f>IFERROR(AVERAGE(INDEX('Jogos do Dia'!$O$2:$O$5,MATCH(S14&amp;"|"&amp;R14,'Jogos do Dia'!$AJ$2:$AJ$5,0)),INDEX('Jogos do Dia'!$P$2:$P$5,MATCH(R14&amp;"|"&amp;S14,'Jogos do Dia'!$AJ$2:$AJ$5,0))),1.2)</f>
        <v>1.2</v>
      </c>
    </row>
    <row r="15" spans="1:21" ht="14.25" customHeight="1" x14ac:dyDescent="0.4">
      <c r="A15" s="15"/>
      <c r="B15" s="15"/>
      <c r="C15" s="27"/>
      <c r="D15" s="27"/>
      <c r="E15" s="27"/>
      <c r="F15" s="39" cm="1">
        <f t="array" ref="F15">IFERROR(_xlfn.LET(_xlpm.critOne,D15,_xlpm.critTwo,E15,_xlpm.la,MAX(0,T15),_xlpm.lb,MAX(0,U15)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15" s="4" t="e">
        <f>1/Tabela37[[#This Row],[Odd Mercado]]</f>
        <v>#DIV/0!</v>
      </c>
      <c r="I15" s="4">
        <f>(Tabela37[[#This Row],[P.Plan]]*0.45)+(Tabela37[[#This Row],[P.Font]]*0.55)</f>
        <v>0.44999999999999968</v>
      </c>
      <c r="J15" s="8">
        <f>1/Tabela37[[#This Row],[P.Comb]]</f>
        <v>2.2222222222222237</v>
      </c>
      <c r="L15" s="4">
        <f>(Tabela37[[#This Row],[Odd Mercado]]/Tabela37[[#This Row],[Odd Gatilho]])-1</f>
        <v>-1</v>
      </c>
      <c r="M15" s="17" t="str">
        <f t="shared" si="0"/>
        <v>🔴 Evitar</v>
      </c>
      <c r="N15" s="26"/>
      <c r="O15" s="19" t="str">
        <f>IF(N16="","— digite a odd —",IF(N16&gt;=1.1/(1.1/Tabela37[[#This Row],[Odd Gatilho]]),"✅ ENTRA (edge "&amp;TEXT(N16*(1.1/Tabela37[[#This Row],[Odd Gatilho]])-1,"0%")&amp;")",IF(N16&gt;=1/(1.1/Tabela37[[#This Row],[Odd Gatilho]]),"🟡 break-even (edge "&amp;TEXT(N16*(1.1/Tabela37[[#This Row],[Odd Gatilho]])-1,"0%")&amp;")","❌ sem valor")))</f>
        <v>— digite a odd —</v>
      </c>
      <c r="P15" s="19" t="str">
        <f t="shared" si="4"/>
        <v/>
      </c>
      <c r="Q15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15" s="1" t="e">
        <f t="shared" si="2"/>
        <v>#VALUE!</v>
      </c>
      <c r="S15" s="1" t="e">
        <f t="shared" si="3"/>
        <v>#VALUE!</v>
      </c>
      <c r="T15" s="1">
        <f>IFERROR(AVERAGE(INDEX('Jogos do Dia'!$O$2:$O$5,MATCH(R15&amp;"|"&amp;S15,'Jogos do Dia'!$AJ$2:$AJ$5,0)),INDEX('Jogos do Dia'!$P$2:$P$5,MATCH(S15&amp;"|"&amp;R15,'Jogos do Dia'!$AJ$2:$AJ$5,0))),1.2)</f>
        <v>1.2</v>
      </c>
      <c r="U15" s="1">
        <f>IFERROR(AVERAGE(INDEX('Jogos do Dia'!$O$2:$O$5,MATCH(S15&amp;"|"&amp;R15,'Jogos do Dia'!$AJ$2:$AJ$5,0)),INDEX('Jogos do Dia'!$P$2:$P$5,MATCH(R15&amp;"|"&amp;S15,'Jogos do Dia'!$AJ$2:$AJ$5,0))),1.2)</f>
        <v>1.2</v>
      </c>
    </row>
    <row r="16" spans="1:21" ht="14.25" customHeight="1" x14ac:dyDescent="0.4">
      <c r="A16" s="15"/>
      <c r="B16" s="15"/>
      <c r="C16" s="27"/>
      <c r="D16" s="27"/>
      <c r="E16" s="27"/>
      <c r="F16" s="39" cm="1">
        <f t="array" ref="F16">IFERROR(_xlfn.LET(_xlpm.critOne,D16,_xlpm.critTwo,E16,_xlpm.la,MAX(0,T16),_xlpm.lb,MAX(0,U16)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16" s="4" t="e">
        <f>1/Tabela37[[#This Row],[Odd Mercado]]</f>
        <v>#DIV/0!</v>
      </c>
      <c r="I16" s="4">
        <f>(Tabela37[[#This Row],[P.Plan]]*0.45)+(Tabela37[[#This Row],[P.Font]]*0.55)</f>
        <v>0.44999999999999968</v>
      </c>
      <c r="J16" s="8">
        <f>1/Tabela37[[#This Row],[P.Comb]]</f>
        <v>2.2222222222222237</v>
      </c>
      <c r="L16" s="4">
        <f>(Tabela37[[#This Row],[Odd Mercado]]/Tabela37[[#This Row],[Odd Gatilho]])-1</f>
        <v>-1</v>
      </c>
      <c r="M16" s="17" t="str">
        <f t="shared" si="0"/>
        <v>🔴 Evitar</v>
      </c>
      <c r="N16" s="26"/>
      <c r="O16" s="19" t="str">
        <f>IF(N17="","— digite a odd —",IF(N17&gt;=1.1/(1.1/Tabela37[[#This Row],[Odd Gatilho]]),"✅ ENTRA (edge "&amp;TEXT(N17*(1.1/Tabela37[[#This Row],[Odd Gatilho]])-1,"0%")&amp;")",IF(N17&gt;=1/(1.1/Tabela37[[#This Row],[Odd Gatilho]]),"🟡 break-even (edge "&amp;TEXT(N17*(1.1/Tabela37[[#This Row],[Odd Gatilho]])-1,"0%")&amp;")","❌ sem valor")))</f>
        <v>— digite a odd —</v>
      </c>
      <c r="P16" s="19" t="str">
        <f t="shared" si="4"/>
        <v/>
      </c>
      <c r="Q16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16" s="1" t="e">
        <f t="shared" si="2"/>
        <v>#VALUE!</v>
      </c>
      <c r="S16" s="1" t="e">
        <f t="shared" si="3"/>
        <v>#VALUE!</v>
      </c>
      <c r="T16" s="1">
        <f>IFERROR(AVERAGE(INDEX('Jogos do Dia'!$O$2:$O$5,MATCH(R16&amp;"|"&amp;S16,'Jogos do Dia'!$AJ$2:$AJ$5,0)),INDEX('Jogos do Dia'!$P$2:$P$5,MATCH(S16&amp;"|"&amp;R16,'Jogos do Dia'!$AJ$2:$AJ$5,0))),1.2)</f>
        <v>1.2</v>
      </c>
      <c r="U16" s="1">
        <f>IFERROR(AVERAGE(INDEX('Jogos do Dia'!$O$2:$O$5,MATCH(S16&amp;"|"&amp;R16,'Jogos do Dia'!$AJ$2:$AJ$5,0)),INDEX('Jogos do Dia'!$P$2:$P$5,MATCH(R16&amp;"|"&amp;S16,'Jogos do Dia'!$AJ$2:$AJ$5,0))),1.2)</f>
        <v>1.2</v>
      </c>
    </row>
    <row r="17" spans="1:21" ht="14.25" customHeight="1" x14ac:dyDescent="0.4">
      <c r="A17" s="15"/>
      <c r="B17" s="15"/>
      <c r="C17" s="28"/>
      <c r="D17" s="28"/>
      <c r="E17" s="28"/>
      <c r="F17" s="39" cm="1">
        <f t="array" ref="F17">IFERROR(_xlfn.LET(_xlpm.critOne,D17,_xlpm.critTwo,E17,_xlpm.la,MAX(0,T17),_xlpm.lb,MAX(0,U17)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17" s="4" t="e">
        <f>1/Tabela37[[#This Row],[Odd Mercado]]</f>
        <v>#DIV/0!</v>
      </c>
      <c r="I17" s="4">
        <f>(Tabela37[[#This Row],[P.Plan]]*0.45)+(Tabela37[[#This Row],[P.Font]]*0.55)</f>
        <v>0.44999999999999968</v>
      </c>
      <c r="J17" s="8">
        <f>1/Tabela37[[#This Row],[P.Comb]]</f>
        <v>2.2222222222222237</v>
      </c>
      <c r="L17" s="4">
        <f>(Tabela37[[#This Row],[Odd Mercado]]/Tabela37[[#This Row],[Odd Gatilho]])-1</f>
        <v>-1</v>
      </c>
      <c r="M17" s="17" t="str">
        <f t="shared" si="0"/>
        <v>🔴 Evitar</v>
      </c>
      <c r="N17" s="26"/>
      <c r="O17" s="19" t="str">
        <f>IF(N18="","— digite a odd —",IF(N18&gt;=1.1/(1.1/Tabela37[[#This Row],[Odd Gatilho]]),"✅ ENTRA (edge "&amp;TEXT(N18*(1.1/Tabela37[[#This Row],[Odd Gatilho]])-1,"0%")&amp;")",IF(N18&gt;=1/(1.1/Tabela37[[#This Row],[Odd Gatilho]]),"🟡 break-even (edge "&amp;TEXT(N18*(1.1/Tabela37[[#This Row],[Odd Gatilho]])-1,"0%")&amp;")","❌ sem valor")))</f>
        <v>— digite a odd —</v>
      </c>
      <c r="P17" s="19" t="str">
        <f t="shared" si="4"/>
        <v/>
      </c>
      <c r="Q17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17" s="1" t="e">
        <f t="shared" si="2"/>
        <v>#VALUE!</v>
      </c>
      <c r="S17" s="1" t="e">
        <f t="shared" si="3"/>
        <v>#VALUE!</v>
      </c>
      <c r="T17" s="1">
        <f>IFERROR(AVERAGE(INDEX('Jogos do Dia'!$O$2:$O$5,MATCH(R17&amp;"|"&amp;S17,'Jogos do Dia'!$AJ$2:$AJ$5,0)),INDEX('Jogos do Dia'!$P$2:$P$5,MATCH(S17&amp;"|"&amp;R17,'Jogos do Dia'!$AJ$2:$AJ$5,0))),1.2)</f>
        <v>1.2</v>
      </c>
      <c r="U17" s="1">
        <f>IFERROR(AVERAGE(INDEX('Jogos do Dia'!$O$2:$O$5,MATCH(S17&amp;"|"&amp;R17,'Jogos do Dia'!$AJ$2:$AJ$5,0)),INDEX('Jogos do Dia'!$P$2:$P$5,MATCH(R17&amp;"|"&amp;S17,'Jogos do Dia'!$AJ$2:$AJ$5,0))),1.2)</f>
        <v>1.2</v>
      </c>
    </row>
    <row r="18" spans="1:21" ht="14.25" customHeight="1" x14ac:dyDescent="0.4">
      <c r="A18" s="15"/>
      <c r="B18" s="15"/>
      <c r="C18" s="28"/>
      <c r="D18" s="28"/>
      <c r="E18" s="28"/>
      <c r="F18" s="39" cm="1">
        <f t="array" ref="F18">IFERROR(_xlfn.LET(_xlpm.critOne,D18,_xlpm.critTwo,E18,_xlpm.la,MAX(0,T18),_xlpm.lb,MAX(0,U18)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18" s="4" t="e">
        <f>1/Tabela37[[#This Row],[Odd Mercado]]</f>
        <v>#DIV/0!</v>
      </c>
      <c r="I18" s="4">
        <f>(Tabela37[[#This Row],[P.Plan]]*0.45)+(Tabela37[[#This Row],[P.Font]]*0.55)</f>
        <v>0.44999999999999968</v>
      </c>
      <c r="J18" s="8">
        <f>1/Tabela37[[#This Row],[P.Comb]]</f>
        <v>2.2222222222222237</v>
      </c>
      <c r="L18" s="4">
        <f>(Tabela37[[#This Row],[Odd Mercado]]/Tabela37[[#This Row],[Odd Gatilho]])-1</f>
        <v>-1</v>
      </c>
      <c r="M18" s="17" t="str">
        <f t="shared" si="0"/>
        <v>🔴 Evitar</v>
      </c>
      <c r="N18" s="26"/>
      <c r="O18" s="19" t="str">
        <f>IF(N19="","— digite a odd —",IF(N19&gt;=1.1/(1.1/Tabela37[[#This Row],[Odd Gatilho]]),"✅ ENTRA (edge "&amp;TEXT(N19*(1.1/Tabela37[[#This Row],[Odd Gatilho]])-1,"0%")&amp;")",IF(N19&gt;=1/(1.1/Tabela37[[#This Row],[Odd Gatilho]]),"🟡 break-even (edge "&amp;TEXT(N19*(1.1/Tabela37[[#This Row],[Odd Gatilho]])-1,"0%")&amp;")","❌ sem valor")))</f>
        <v>— digite a odd —</v>
      </c>
      <c r="P18" s="19" t="str">
        <f t="shared" si="4"/>
        <v/>
      </c>
      <c r="Q18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18" s="1" t="e">
        <f t="shared" si="2"/>
        <v>#VALUE!</v>
      </c>
      <c r="S18" s="1" t="e">
        <f t="shared" si="3"/>
        <v>#VALUE!</v>
      </c>
      <c r="T18" s="1">
        <f>IFERROR(AVERAGE(INDEX('Jogos do Dia'!$O$2:$O$5,MATCH(R18&amp;"|"&amp;S18,'Jogos do Dia'!$AJ$2:$AJ$5,0)),INDEX('Jogos do Dia'!$P$2:$P$5,MATCH(S18&amp;"|"&amp;R18,'Jogos do Dia'!$AJ$2:$AJ$5,0))),1.2)</f>
        <v>1.2</v>
      </c>
      <c r="U18" s="1">
        <f>IFERROR(AVERAGE(INDEX('Jogos do Dia'!$O$2:$O$5,MATCH(S18&amp;"|"&amp;R18,'Jogos do Dia'!$AJ$2:$AJ$5,0)),INDEX('Jogos do Dia'!$P$2:$P$5,MATCH(R18&amp;"|"&amp;S18,'Jogos do Dia'!$AJ$2:$AJ$5,0))),1.2)</f>
        <v>1.2</v>
      </c>
    </row>
    <row r="19" spans="1:21" ht="14.25" customHeight="1" x14ac:dyDescent="0.4">
      <c r="A19" s="15"/>
      <c r="B19" s="15"/>
      <c r="C19" s="28"/>
      <c r="D19" s="28"/>
      <c r="E19" s="28"/>
      <c r="F19" s="39" cm="1">
        <f t="array" ref="F19">IFERROR(_xlfn.LET(_xlpm.critOne,D19,_xlpm.critTwo,E19,_xlpm.la,MAX(0,T19),_xlpm.lb,MAX(0,U19)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19" s="4" t="e">
        <f>1/Tabela37[[#This Row],[Odd Mercado]]</f>
        <v>#DIV/0!</v>
      </c>
      <c r="I19" s="4">
        <f>(Tabela37[[#This Row],[P.Plan]]*0.45)+(Tabela37[[#This Row],[P.Font]]*0.55)</f>
        <v>0.44999999999999968</v>
      </c>
      <c r="J19" s="8">
        <f>1/Tabela37[[#This Row],[P.Comb]]</f>
        <v>2.2222222222222237</v>
      </c>
      <c r="L19" s="4">
        <f>(Tabela37[[#This Row],[Odd Mercado]]/Tabela37[[#This Row],[Odd Gatilho]])-1</f>
        <v>-1</v>
      </c>
      <c r="M19" s="17" t="str">
        <f t="shared" si="0"/>
        <v>🔴 Evitar</v>
      </c>
      <c r="N19" s="26"/>
      <c r="O19" s="19" t="str">
        <f>IF(N20="","— digite a odd —",IF(N20&gt;=1.1/(1.1/Tabela37[[#This Row],[Odd Gatilho]]),"✅ ENTRA (edge "&amp;TEXT(N20*(1.1/Tabela37[[#This Row],[Odd Gatilho]])-1,"0%")&amp;")",IF(N20&gt;=1/(1.1/Tabela37[[#This Row],[Odd Gatilho]]),"🟡 break-even (edge "&amp;TEXT(N20*(1.1/Tabela37[[#This Row],[Odd Gatilho]])-1,"0%")&amp;")","❌ sem valor")))</f>
        <v>— digite a odd —</v>
      </c>
      <c r="P19" s="19" t="str">
        <f t="shared" si="4"/>
        <v/>
      </c>
      <c r="Q19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19" s="1" t="e">
        <f t="shared" si="2"/>
        <v>#VALUE!</v>
      </c>
      <c r="S19" s="1" t="e">
        <f t="shared" si="3"/>
        <v>#VALUE!</v>
      </c>
      <c r="T19" s="1">
        <f>IFERROR(AVERAGE(INDEX('Jogos do Dia'!$O$2:$O$5,MATCH(R19&amp;"|"&amp;S19,'Jogos do Dia'!$AJ$2:$AJ$5,0)),INDEX('Jogos do Dia'!$P$2:$P$5,MATCH(S19&amp;"|"&amp;R19,'Jogos do Dia'!$AJ$2:$AJ$5,0))),1.2)</f>
        <v>1.2</v>
      </c>
      <c r="U19" s="1">
        <f>IFERROR(AVERAGE(INDEX('Jogos do Dia'!$O$2:$O$5,MATCH(S19&amp;"|"&amp;R19,'Jogos do Dia'!$AJ$2:$AJ$5,0)),INDEX('Jogos do Dia'!$P$2:$P$5,MATCH(R19&amp;"|"&amp;S19,'Jogos do Dia'!$AJ$2:$AJ$5,0))),1.2)</f>
        <v>1.2</v>
      </c>
    </row>
    <row r="20" spans="1:21" ht="14.25" customHeight="1" x14ac:dyDescent="0.4">
      <c r="A20" s="15"/>
      <c r="B20" s="15"/>
      <c r="C20" s="28"/>
      <c r="D20" s="28"/>
      <c r="E20" s="28"/>
      <c r="F20" s="39" cm="1">
        <f t="array" ref="F20">IFERROR(_xlfn.LET(_xlpm.critOne,D20,_xlpm.critTwo,E20,_xlpm.la,MAX(0,T20),_xlpm.lb,MAX(0,U20)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20" s="4" t="e">
        <f>1/Tabela37[[#This Row],[Odd Mercado]]</f>
        <v>#DIV/0!</v>
      </c>
      <c r="I20" s="4">
        <f>(Tabela37[[#This Row],[P.Plan]]*0.45)+(Tabela37[[#This Row],[P.Font]]*0.55)</f>
        <v>0.44999999999999968</v>
      </c>
      <c r="J20" s="8">
        <f>1/Tabela37[[#This Row],[P.Comb]]</f>
        <v>2.2222222222222237</v>
      </c>
      <c r="L20" s="4">
        <f>(Tabela37[[#This Row],[Odd Mercado]]/Tabela37[[#This Row],[Odd Gatilho]])-1</f>
        <v>-1</v>
      </c>
      <c r="M20" s="17" t="str">
        <f t="shared" si="0"/>
        <v>🔴 Evitar</v>
      </c>
      <c r="N20" s="26"/>
      <c r="O20" s="19" t="str">
        <f>IF(N21="","— digite a odd —",IF(N21&gt;=1.1/(1.1/Tabela37[[#This Row],[Odd Gatilho]]),"✅ ENTRA (edge "&amp;TEXT(N21*(1.1/Tabela37[[#This Row],[Odd Gatilho]])-1,"0%")&amp;")",IF(N21&gt;=1/(1.1/Tabela37[[#This Row],[Odd Gatilho]]),"🟡 break-even (edge "&amp;TEXT(N21*(1.1/Tabela37[[#This Row],[Odd Gatilho]])-1,"0%")&amp;")","❌ sem valor")))</f>
        <v>— digite a odd —</v>
      </c>
      <c r="P20" s="19" t="str">
        <f t="shared" si="4"/>
        <v/>
      </c>
      <c r="Q20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20" s="1" t="e">
        <f t="shared" si="2"/>
        <v>#VALUE!</v>
      </c>
      <c r="S20" s="1" t="e">
        <f t="shared" si="3"/>
        <v>#VALUE!</v>
      </c>
      <c r="T20" s="1">
        <f>IFERROR(AVERAGE(INDEX('Jogos do Dia'!$O$2:$O$5,MATCH(R20&amp;"|"&amp;S20,'Jogos do Dia'!$AJ$2:$AJ$5,0)),INDEX('Jogos do Dia'!$P$2:$P$5,MATCH(S20&amp;"|"&amp;R20,'Jogos do Dia'!$AJ$2:$AJ$5,0))),1.2)</f>
        <v>1.2</v>
      </c>
      <c r="U20" s="1">
        <f>IFERROR(AVERAGE(INDEX('Jogos do Dia'!$O$2:$O$5,MATCH(S20&amp;"|"&amp;R20,'Jogos do Dia'!$AJ$2:$AJ$5,0)),INDEX('Jogos do Dia'!$P$2:$P$5,MATCH(R20&amp;"|"&amp;S20,'Jogos do Dia'!$AJ$2:$AJ$5,0))),1.2)</f>
        <v>1.2</v>
      </c>
    </row>
    <row r="21" spans="1:21" ht="14.25" customHeight="1" x14ac:dyDescent="0.4">
      <c r="A21" s="15"/>
      <c r="B21" s="15"/>
      <c r="C21" s="28"/>
      <c r="D21" s="28"/>
      <c r="E21" s="28"/>
      <c r="F21" s="39" cm="1">
        <f t="array" ref="F21">IFERROR(_xlfn.LET(_xlpm.critOne,D21,_xlpm.critTwo,E21,_xlpm.la,MAX(0,T21),_xlpm.lb,MAX(0,U21)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21" s="4" t="e">
        <f>1/Tabela37[[#This Row],[Odd Mercado]]</f>
        <v>#DIV/0!</v>
      </c>
      <c r="I21" s="4">
        <f>(Tabela37[[#This Row],[P.Plan]]*0.45)+(Tabela37[[#This Row],[P.Font]]*0.55)</f>
        <v>0.44999999999999968</v>
      </c>
      <c r="J21" s="8">
        <f>1/Tabela37[[#This Row],[P.Comb]]</f>
        <v>2.2222222222222237</v>
      </c>
      <c r="L21" s="4">
        <f>(Tabela37[[#This Row],[Odd Mercado]]/Tabela37[[#This Row],[Odd Gatilho]])-1</f>
        <v>-1</v>
      </c>
      <c r="M21" s="17" t="str">
        <f t="shared" si="0"/>
        <v>🔴 Evitar</v>
      </c>
      <c r="N21" s="26"/>
      <c r="O21" s="19" t="str">
        <f>IF(N22="","— digite a odd —",IF(N22&gt;=1.1/(1.1/Tabela37[[#This Row],[Odd Gatilho]]),"✅ ENTRA (edge "&amp;TEXT(N22*(1.1/Tabela37[[#This Row],[Odd Gatilho]])-1,"0%")&amp;")",IF(N22&gt;=1/(1.1/Tabela37[[#This Row],[Odd Gatilho]]),"🟡 break-even (edge "&amp;TEXT(N22*(1.1/Tabela37[[#This Row],[Odd Gatilho]])-1,"0%")&amp;")","❌ sem valor")))</f>
        <v>— digite a odd —</v>
      </c>
      <c r="P21" s="19" t="str">
        <f t="shared" si="4"/>
        <v/>
      </c>
      <c r="Q21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21" s="1" t="e">
        <f t="shared" si="2"/>
        <v>#VALUE!</v>
      </c>
      <c r="S21" s="1" t="e">
        <f t="shared" si="3"/>
        <v>#VALUE!</v>
      </c>
      <c r="T21" s="1">
        <f>IFERROR(AVERAGE(INDEX('Jogos do Dia'!$O$2:$O$5,MATCH(R21&amp;"|"&amp;S21,'Jogos do Dia'!$AJ$2:$AJ$5,0)),INDEX('Jogos do Dia'!$P$2:$P$5,MATCH(S21&amp;"|"&amp;R21,'Jogos do Dia'!$AJ$2:$AJ$5,0))),1.2)</f>
        <v>1.2</v>
      </c>
      <c r="U21" s="1">
        <f>IFERROR(AVERAGE(INDEX('Jogos do Dia'!$O$2:$O$5,MATCH(S21&amp;"|"&amp;R21,'Jogos do Dia'!$AJ$2:$AJ$5,0)),INDEX('Jogos do Dia'!$P$2:$P$5,MATCH(R21&amp;"|"&amp;S21,'Jogos do Dia'!$AJ$2:$AJ$5,0))),1.2)</f>
        <v>1.2</v>
      </c>
    </row>
    <row r="22" spans="1:21" ht="14.25" customHeight="1" x14ac:dyDescent="0.4">
      <c r="A22" s="15"/>
      <c r="B22" s="15"/>
      <c r="C22" s="16"/>
      <c r="D22" s="16"/>
      <c r="E22" s="16"/>
      <c r="F22" s="39" cm="1">
        <f t="array" ref="F22">IFERROR(_xlfn.LET(_xlpm.critOne,D22,_xlpm.critTwo,E22,_xlpm.la,MAX(0,T22),_xlpm.lb,MAX(0,U22)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22" s="4" t="e">
        <f>1/Tabela37[[#This Row],[Odd Mercado]]</f>
        <v>#DIV/0!</v>
      </c>
      <c r="I22" s="4">
        <f>(Tabela37[[#This Row],[P.Plan]]*0.45)+(Tabela37[[#This Row],[P.Font]]*0.55)</f>
        <v>0.44999999999999968</v>
      </c>
      <c r="J22" s="8">
        <f>1/Tabela37[[#This Row],[P.Comb]]</f>
        <v>2.2222222222222237</v>
      </c>
      <c r="L22" s="4">
        <f>(Tabela37[[#This Row],[Odd Mercado]]/Tabela37[[#This Row],[Odd Gatilho]])-1</f>
        <v>-1</v>
      </c>
      <c r="M22" s="17" t="str">
        <f t="shared" si="0"/>
        <v>🔴 Evitar</v>
      </c>
      <c r="N22" s="26"/>
      <c r="O22" s="19" t="str">
        <f>IF(N23="","— digite a odd —",IF(N23&gt;=1.1/(1.1/Tabela37[[#This Row],[Odd Gatilho]]),"✅ ENTRA (edge "&amp;TEXT(N23*(1.1/Tabela37[[#This Row],[Odd Gatilho]])-1,"0%")&amp;")",IF(N23&gt;=1/(1.1/Tabela37[[#This Row],[Odd Gatilho]]),"🟡 break-even (edge "&amp;TEXT(N23*(1.1/Tabela37[[#This Row],[Odd Gatilho]])-1,"0%")&amp;")","❌ sem valor")))</f>
        <v>— digite a odd —</v>
      </c>
      <c r="P22" s="19" t="str">
        <f t="shared" si="4"/>
        <v/>
      </c>
      <c r="Q22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22" s="1" t="e">
        <f t="shared" si="2"/>
        <v>#VALUE!</v>
      </c>
      <c r="S22" s="1" t="e">
        <f t="shared" si="3"/>
        <v>#VALUE!</v>
      </c>
      <c r="T22" s="1">
        <f>IFERROR(AVERAGE(INDEX('Jogos do Dia'!$O$2:$O$5,MATCH(R22&amp;"|"&amp;S22,'Jogos do Dia'!$AJ$2:$AJ$5,0)),INDEX('Jogos do Dia'!$P$2:$P$5,MATCH(S22&amp;"|"&amp;R22,'Jogos do Dia'!$AJ$2:$AJ$5,0))),1.2)</f>
        <v>1.2</v>
      </c>
      <c r="U22" s="1">
        <f>IFERROR(AVERAGE(INDEX('Jogos do Dia'!$O$2:$O$5,MATCH(S22&amp;"|"&amp;R22,'Jogos do Dia'!$AJ$2:$AJ$5,0)),INDEX('Jogos do Dia'!$P$2:$P$5,MATCH(R22&amp;"|"&amp;S22,'Jogos do Dia'!$AJ$2:$AJ$5,0))),1.2)</f>
        <v>1.2</v>
      </c>
    </row>
    <row r="23" spans="1:21" ht="14.25" customHeight="1" x14ac:dyDescent="0.4">
      <c r="A23" s="15"/>
      <c r="B23" s="15"/>
      <c r="C23" s="16"/>
      <c r="D23" s="16"/>
      <c r="E23" s="16"/>
      <c r="F23" s="39" cm="1">
        <f t="array" ref="F23">IFERROR(_xlfn.LET(_xlpm.critOne,D23,_xlpm.critTwo,E23,_xlpm.la,MAX(0,T23),_xlpm.lb,MAX(0,U23)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23" s="4" t="e">
        <f>1/Tabela37[[#This Row],[Odd Mercado]]</f>
        <v>#DIV/0!</v>
      </c>
      <c r="I23" s="4">
        <f>(Tabela37[[#This Row],[P.Plan]]*0.45)+(Tabela37[[#This Row],[P.Font]]*0.55)</f>
        <v>0.44999999999999968</v>
      </c>
      <c r="J23" s="8">
        <f>1/Tabela37[[#This Row],[P.Comb]]</f>
        <v>2.2222222222222237</v>
      </c>
      <c r="L23" s="4">
        <f>(Tabela37[[#This Row],[Odd Mercado]]/Tabela37[[#This Row],[Odd Gatilho]])-1</f>
        <v>-1</v>
      </c>
      <c r="M23" s="17" t="str">
        <f t="shared" si="0"/>
        <v>🔴 Evitar</v>
      </c>
      <c r="N23" s="26"/>
      <c r="O23" s="19" t="str">
        <f>IF(N24="","— digite a odd —",IF(N24&gt;=1.1/(1.1/Tabela37[[#This Row],[Odd Gatilho]]),"✅ ENTRA (edge "&amp;TEXT(N24*(1.1/Tabela37[[#This Row],[Odd Gatilho]])-1,"0%")&amp;")",IF(N24&gt;=1/(1.1/Tabela37[[#This Row],[Odd Gatilho]]),"🟡 break-even (edge "&amp;TEXT(N24*(1.1/Tabela37[[#This Row],[Odd Gatilho]])-1,"0%")&amp;")","❌ sem valor")))</f>
        <v>— digite a odd —</v>
      </c>
      <c r="P23" s="19" t="str">
        <f t="shared" si="4"/>
        <v/>
      </c>
      <c r="Q23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23" s="1" t="e">
        <f t="shared" si="2"/>
        <v>#VALUE!</v>
      </c>
      <c r="S23" s="1" t="e">
        <f t="shared" si="3"/>
        <v>#VALUE!</v>
      </c>
      <c r="T23" s="1">
        <f>IFERROR(AVERAGE(INDEX('Jogos do Dia'!$O$2:$O$5,MATCH(R23&amp;"|"&amp;S23,'Jogos do Dia'!$AJ$2:$AJ$5,0)),INDEX('Jogos do Dia'!$P$2:$P$5,MATCH(S23&amp;"|"&amp;R23,'Jogos do Dia'!$AJ$2:$AJ$5,0))),1.2)</f>
        <v>1.2</v>
      </c>
      <c r="U23" s="1">
        <f>IFERROR(AVERAGE(INDEX('Jogos do Dia'!$O$2:$O$5,MATCH(S23&amp;"|"&amp;R23,'Jogos do Dia'!$AJ$2:$AJ$5,0)),INDEX('Jogos do Dia'!$P$2:$P$5,MATCH(R23&amp;"|"&amp;S23,'Jogos do Dia'!$AJ$2:$AJ$5,0))),1.2)</f>
        <v>1.2</v>
      </c>
    </row>
    <row r="24" spans="1:21" ht="14.25" customHeight="1" x14ac:dyDescent="0.4">
      <c r="A24" s="15"/>
      <c r="B24" s="15"/>
      <c r="C24" s="20"/>
      <c r="D24" s="20"/>
      <c r="E24" s="20"/>
      <c r="F24" s="39" cm="1">
        <f t="array" ref="F24">IFERROR(_xlfn.LET(_xlpm.critOne,D24,_xlpm.critTwo,E24,_xlpm.la,MAX(0,T24),_xlpm.lb,MAX(0,U24)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24" s="4" t="e">
        <f>1/Tabela37[[#This Row],[Odd Mercado]]</f>
        <v>#DIV/0!</v>
      </c>
      <c r="I24" s="4">
        <f>(Tabela37[[#This Row],[P.Plan]]*0.45)+(Tabela37[[#This Row],[P.Font]]*0.55)</f>
        <v>0.44999999999999968</v>
      </c>
      <c r="J24" s="8">
        <f>1/Tabela37[[#This Row],[P.Comb]]</f>
        <v>2.2222222222222237</v>
      </c>
      <c r="L24" s="4">
        <f>(Tabela37[[#This Row],[Odd Mercado]]/Tabela37[[#This Row],[Odd Gatilho]])-1</f>
        <v>-1</v>
      </c>
      <c r="M24" s="17" t="str">
        <f t="shared" si="0"/>
        <v>🔴 Evitar</v>
      </c>
      <c r="N24" s="26"/>
      <c r="O24" s="19" t="str">
        <f>IF(N25="","— digite a odd —",IF(N25&gt;=1.1/(1.1/Tabela37[[#This Row],[Odd Gatilho]]),"✅ ENTRA (edge "&amp;TEXT(N25*(1.1/Tabela37[[#This Row],[Odd Gatilho]])-1,"0%")&amp;")",IF(N25&gt;=1/(1.1/Tabela37[[#This Row],[Odd Gatilho]]),"🟡 break-even (edge "&amp;TEXT(N25*(1.1/Tabela37[[#This Row],[Odd Gatilho]])-1,"0%")&amp;")","❌ sem valor")))</f>
        <v>— digite a odd —</v>
      </c>
      <c r="P24" s="19" t="str">
        <f t="shared" si="4"/>
        <v/>
      </c>
      <c r="Q24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24" s="1" t="e">
        <f t="shared" si="2"/>
        <v>#VALUE!</v>
      </c>
      <c r="S24" s="1" t="e">
        <f t="shared" si="3"/>
        <v>#VALUE!</v>
      </c>
      <c r="T24" s="1">
        <f>IFERROR(AVERAGE(INDEX('Jogos do Dia'!$O$2:$O$5,MATCH(R24&amp;"|"&amp;S24,'Jogos do Dia'!$AJ$2:$AJ$5,0)),INDEX('Jogos do Dia'!$P$2:$P$5,MATCH(S24&amp;"|"&amp;R24,'Jogos do Dia'!$AJ$2:$AJ$5,0))),1.2)</f>
        <v>1.2</v>
      </c>
      <c r="U24" s="1">
        <f>IFERROR(AVERAGE(INDEX('Jogos do Dia'!$O$2:$O$5,MATCH(S24&amp;"|"&amp;R24,'Jogos do Dia'!$AJ$2:$AJ$5,0)),INDEX('Jogos do Dia'!$P$2:$P$5,MATCH(R24&amp;"|"&amp;S24,'Jogos do Dia'!$AJ$2:$AJ$5,0))),1.2)</f>
        <v>1.2</v>
      </c>
    </row>
    <row r="25" spans="1:21" ht="14.25" customHeight="1" x14ac:dyDescent="0.4">
      <c r="A25" s="15"/>
      <c r="B25" s="15"/>
      <c r="C25" s="20"/>
      <c r="D25" s="20"/>
      <c r="E25" s="20"/>
      <c r="F25" s="39" cm="1">
        <f t="array" ref="F25">IFERROR(_xlfn.LET(_xlpm.critOne,D25,_xlpm.critTwo,E25,_xlpm.la,MAX(0,T25),_xlpm.lb,MAX(0,U25)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25" s="4" t="e">
        <f>1/Tabela37[[#This Row],[Odd Mercado]]</f>
        <v>#DIV/0!</v>
      </c>
      <c r="I25" s="4">
        <f>(Tabela37[[#This Row],[P.Plan]]*0.45)+(Tabela37[[#This Row],[P.Font]]*0.55)</f>
        <v>0.44999999999999968</v>
      </c>
      <c r="J25" s="8">
        <f>1/Tabela37[[#This Row],[P.Comb]]</f>
        <v>2.2222222222222237</v>
      </c>
      <c r="L25" s="4">
        <f>(Tabela37[[#This Row],[Odd Mercado]]/Tabela37[[#This Row],[Odd Gatilho]])-1</f>
        <v>-1</v>
      </c>
      <c r="M25" s="17" t="str">
        <f t="shared" si="0"/>
        <v>🔴 Evitar</v>
      </c>
      <c r="N25" s="26"/>
      <c r="O25" s="19" t="str">
        <f>IF(N26="","— digite a odd —",IF(N26&gt;=1.1/(1.1/Tabela37[[#This Row],[Odd Gatilho]]),"✅ ENTRA (edge "&amp;TEXT(N26*(1.1/Tabela37[[#This Row],[Odd Gatilho]])-1,"0%")&amp;")",IF(N26&gt;=1/(1.1/Tabela37[[#This Row],[Odd Gatilho]]),"🟡 break-even (edge "&amp;TEXT(N26*(1.1/Tabela37[[#This Row],[Odd Gatilho]])-1,"0%")&amp;")","❌ sem valor")))</f>
        <v>— digite a odd —</v>
      </c>
      <c r="P25" s="19" t="str">
        <f t="shared" si="4"/>
        <v/>
      </c>
      <c r="Q25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25" s="1" t="e">
        <f t="shared" si="2"/>
        <v>#VALUE!</v>
      </c>
      <c r="S25" s="1" t="e">
        <f t="shared" si="3"/>
        <v>#VALUE!</v>
      </c>
      <c r="T25" s="1">
        <f>IFERROR(AVERAGE(INDEX('Jogos do Dia'!$O$2:$O$5,MATCH(R25&amp;"|"&amp;S25,'Jogos do Dia'!$AJ$2:$AJ$5,0)),INDEX('Jogos do Dia'!$P$2:$P$5,MATCH(S25&amp;"|"&amp;R25,'Jogos do Dia'!$AJ$2:$AJ$5,0))),1.2)</f>
        <v>1.2</v>
      </c>
      <c r="U25" s="1">
        <f>IFERROR(AVERAGE(INDEX('Jogos do Dia'!$O$2:$O$5,MATCH(S25&amp;"|"&amp;R25,'Jogos do Dia'!$AJ$2:$AJ$5,0)),INDEX('Jogos do Dia'!$P$2:$P$5,MATCH(R25&amp;"|"&amp;S25,'Jogos do Dia'!$AJ$2:$AJ$5,0))),1.2)</f>
        <v>1.2</v>
      </c>
    </row>
    <row r="26" spans="1:21" ht="14.25" customHeight="1" x14ac:dyDescent="0.4">
      <c r="A26" s="15"/>
      <c r="B26" s="15"/>
      <c r="C26" s="20"/>
      <c r="D26" s="20"/>
      <c r="E26" s="20"/>
      <c r="F26" s="39" cm="1">
        <f t="array" ref="F26">IFERROR(_xlfn.LET(_xlpm.critOne,D26,_xlpm.critTwo,E26,_xlpm.la,MAX(0,T26),_xlpm.lb,MAX(0,U26)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26" s="4" t="e">
        <f>1/Tabela37[[#This Row],[Odd Mercado]]</f>
        <v>#DIV/0!</v>
      </c>
      <c r="I26" s="4">
        <f>(Tabela37[[#This Row],[P.Plan]]*0.45)+(Tabela37[[#This Row],[P.Font]]*0.55)</f>
        <v>0.44999999999999968</v>
      </c>
      <c r="J26" s="8">
        <f>1/Tabela37[[#This Row],[P.Comb]]</f>
        <v>2.2222222222222237</v>
      </c>
      <c r="L26" s="4">
        <f>(Tabela37[[#This Row],[Odd Mercado]]/Tabela37[[#This Row],[Odd Gatilho]])-1</f>
        <v>-1</v>
      </c>
      <c r="M26" s="17" t="str">
        <f t="shared" si="0"/>
        <v>🔴 Evitar</v>
      </c>
      <c r="N26" s="26"/>
      <c r="O26" s="19" t="str">
        <f>IF(N27="","— digite a odd —",IF(N27&gt;=1.1/(1.1/Tabela37[[#This Row],[Odd Gatilho]]),"✅ ENTRA (edge "&amp;TEXT(N27*(1.1/Tabela37[[#This Row],[Odd Gatilho]])-1,"0%")&amp;")",IF(N27&gt;=1/(1.1/Tabela37[[#This Row],[Odd Gatilho]]),"🟡 break-even (edge "&amp;TEXT(N27*(1.1/Tabela37[[#This Row],[Odd Gatilho]])-1,"0%")&amp;")","❌ sem valor")))</f>
        <v>— digite a odd —</v>
      </c>
      <c r="P26" s="19" t="str">
        <f t="shared" si="4"/>
        <v/>
      </c>
      <c r="Q26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26" s="1" t="e">
        <f t="shared" si="2"/>
        <v>#VALUE!</v>
      </c>
      <c r="S26" s="1" t="e">
        <f t="shared" si="3"/>
        <v>#VALUE!</v>
      </c>
      <c r="T26" s="1">
        <f>IFERROR(AVERAGE(INDEX('Jogos do Dia'!$O$2:$O$5,MATCH(R26&amp;"|"&amp;S26,'Jogos do Dia'!$AJ$2:$AJ$5,0)),INDEX('Jogos do Dia'!$P$2:$P$5,MATCH(S26&amp;"|"&amp;R26,'Jogos do Dia'!$AJ$2:$AJ$5,0))),1.2)</f>
        <v>1.2</v>
      </c>
      <c r="U26" s="1">
        <f>IFERROR(AVERAGE(INDEX('Jogos do Dia'!$O$2:$O$5,MATCH(S26&amp;"|"&amp;R26,'Jogos do Dia'!$AJ$2:$AJ$5,0)),INDEX('Jogos do Dia'!$P$2:$P$5,MATCH(R26&amp;"|"&amp;S26,'Jogos do Dia'!$AJ$2:$AJ$5,0))),1.2)</f>
        <v>1.2</v>
      </c>
    </row>
    <row r="27" spans="1:21" ht="14.25" customHeight="1" x14ac:dyDescent="0.4">
      <c r="A27" s="15"/>
      <c r="B27" s="15"/>
      <c r="C27" s="20"/>
      <c r="D27" s="20"/>
      <c r="E27" s="20"/>
      <c r="F27" s="39" cm="1">
        <f t="array" ref="F27">IFERROR(_xlfn.LET(_xlpm.critOne,D27,_xlpm.critTwo,E27,_xlpm.la,MAX(0,T27),_xlpm.lb,MAX(0,U27)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27" s="4" t="e">
        <f>1/Tabela37[[#This Row],[Odd Mercado]]</f>
        <v>#DIV/0!</v>
      </c>
      <c r="I27" s="4">
        <f>(Tabela37[[#This Row],[P.Plan]]*0.45)+(Tabela37[[#This Row],[P.Font]]*0.55)</f>
        <v>0.44999999999999968</v>
      </c>
      <c r="J27" s="8">
        <f>1/Tabela37[[#This Row],[P.Comb]]</f>
        <v>2.2222222222222237</v>
      </c>
      <c r="L27" s="4">
        <f>(Tabela37[[#This Row],[Odd Mercado]]/Tabela37[[#This Row],[Odd Gatilho]])-1</f>
        <v>-1</v>
      </c>
      <c r="M27" s="17" t="str">
        <f t="shared" si="0"/>
        <v>🔴 Evitar</v>
      </c>
      <c r="N27" s="26"/>
      <c r="O27" s="19" t="str">
        <f>IF(N28="","— digite a odd —",IF(N28&gt;=1.1/(1.1/Tabela37[[#This Row],[Odd Gatilho]]),"✅ ENTRA (edge "&amp;TEXT(N28*(1.1/Tabela37[[#This Row],[Odd Gatilho]])-1,"0%")&amp;")",IF(N28&gt;=1/(1.1/Tabela37[[#This Row],[Odd Gatilho]]),"🟡 break-even (edge "&amp;TEXT(N28*(1.1/Tabela37[[#This Row],[Odd Gatilho]])-1,"0%")&amp;")","❌ sem valor")))</f>
        <v>— digite a odd —</v>
      </c>
      <c r="P27" s="19" t="str">
        <f t="shared" si="4"/>
        <v/>
      </c>
      <c r="Q27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27" s="1" t="e">
        <f t="shared" si="2"/>
        <v>#VALUE!</v>
      </c>
      <c r="S27" s="1" t="e">
        <f t="shared" si="3"/>
        <v>#VALUE!</v>
      </c>
      <c r="T27" s="1">
        <f>IFERROR(AVERAGE(INDEX('Jogos do Dia'!$O$2:$O$5,MATCH(R27&amp;"|"&amp;S27,'Jogos do Dia'!$AJ$2:$AJ$5,0)),INDEX('Jogos do Dia'!$P$2:$P$5,MATCH(S27&amp;"|"&amp;R27,'Jogos do Dia'!$AJ$2:$AJ$5,0))),1.2)</f>
        <v>1.2</v>
      </c>
      <c r="U27" s="1">
        <f>IFERROR(AVERAGE(INDEX('Jogos do Dia'!$O$2:$O$5,MATCH(S27&amp;"|"&amp;R27,'Jogos do Dia'!$AJ$2:$AJ$5,0)),INDEX('Jogos do Dia'!$P$2:$P$5,MATCH(R27&amp;"|"&amp;S27,'Jogos do Dia'!$AJ$2:$AJ$5,0))),1.2)</f>
        <v>1.2</v>
      </c>
    </row>
    <row r="28" spans="1:21" ht="14.25" customHeight="1" x14ac:dyDescent="0.4">
      <c r="A28" s="15"/>
      <c r="B28" s="15"/>
      <c r="C28" s="21"/>
      <c r="D28" s="21"/>
      <c r="E28" s="21"/>
      <c r="F28" s="39" cm="1">
        <f t="array" ref="F28">IFERROR(_xlfn.LET(_xlpm.critOne,D28,_xlpm.critTwo,E28,_xlpm.la,MAX(0,T28),_xlpm.lb,MAX(0,U28)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28" s="4" t="e">
        <f>1/Tabela37[[#This Row],[Odd Mercado]]</f>
        <v>#DIV/0!</v>
      </c>
      <c r="I28" s="4">
        <f>(Tabela37[[#This Row],[P.Plan]]*0.45)+(Tabela37[[#This Row],[P.Font]]*0.55)</f>
        <v>0.44999999999999968</v>
      </c>
      <c r="J28" s="8">
        <f>1/Tabela37[[#This Row],[P.Comb]]</f>
        <v>2.2222222222222237</v>
      </c>
      <c r="L28" s="4">
        <f>(Tabela37[[#This Row],[Odd Mercado]]/Tabela37[[#This Row],[Odd Gatilho]])-1</f>
        <v>-1</v>
      </c>
      <c r="M28" s="17" t="str">
        <f t="shared" si="0"/>
        <v>🔴 Evitar</v>
      </c>
      <c r="N28" s="26"/>
      <c r="O28" s="19" t="str">
        <f>IF(N29="","— digite a odd —",IF(N29&gt;=1.1/(1.1/Tabela37[[#This Row],[Odd Gatilho]]),"✅ ENTRA (edge "&amp;TEXT(N29*(1.1/Tabela37[[#This Row],[Odd Gatilho]])-1,"0%")&amp;")",IF(N29&gt;=1/(1.1/Tabela37[[#This Row],[Odd Gatilho]]),"🟡 break-even (edge "&amp;TEXT(N29*(1.1/Tabela37[[#This Row],[Odd Gatilho]])-1,"0%")&amp;")","❌ sem valor")))</f>
        <v>— digite a odd —</v>
      </c>
      <c r="P28" s="19" t="str">
        <f t="shared" si="4"/>
        <v/>
      </c>
      <c r="Q28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28" s="1" t="e">
        <f t="shared" si="2"/>
        <v>#VALUE!</v>
      </c>
      <c r="S28" s="1" t="e">
        <f t="shared" si="3"/>
        <v>#VALUE!</v>
      </c>
      <c r="T28" s="1">
        <f>IFERROR(AVERAGE(INDEX('Jogos do Dia'!$O$2:$O$5,MATCH(R28&amp;"|"&amp;S28,'Jogos do Dia'!$AJ$2:$AJ$5,0)),INDEX('Jogos do Dia'!$P$2:$P$5,MATCH(S28&amp;"|"&amp;R28,'Jogos do Dia'!$AJ$2:$AJ$5,0))),1.2)</f>
        <v>1.2</v>
      </c>
      <c r="U28" s="1">
        <f>IFERROR(AVERAGE(INDEX('Jogos do Dia'!$O$2:$O$5,MATCH(S28&amp;"|"&amp;R28,'Jogos do Dia'!$AJ$2:$AJ$5,0)),INDEX('Jogos do Dia'!$P$2:$P$5,MATCH(R28&amp;"|"&amp;S28,'Jogos do Dia'!$AJ$2:$AJ$5,0))),1.2)</f>
        <v>1.2</v>
      </c>
    </row>
    <row r="29" spans="1:21" ht="14.25" customHeight="1" x14ac:dyDescent="0.4">
      <c r="A29" s="15"/>
      <c r="B29" s="15"/>
      <c r="C29" s="21"/>
      <c r="D29" s="21"/>
      <c r="E29" s="21"/>
      <c r="F29" s="39" cm="1">
        <f t="array" ref="F29">IFERROR(_xlfn.LET(_xlpm.critOne,D29,_xlpm.critTwo,E29,_xlpm.la,MAX(0,T29),_xlpm.lb,MAX(0,U29)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29" s="4" t="e">
        <f>1/Tabela37[[#This Row],[Odd Mercado]]</f>
        <v>#DIV/0!</v>
      </c>
      <c r="I29" s="4">
        <f>(Tabela37[[#This Row],[P.Plan]]*0.45)+(Tabela37[[#This Row],[P.Font]]*0.55)</f>
        <v>0.44999999999999968</v>
      </c>
      <c r="J29" s="8">
        <f>1/Tabela37[[#This Row],[P.Comb]]</f>
        <v>2.2222222222222237</v>
      </c>
      <c r="L29" s="4">
        <f>(Tabela37[[#This Row],[Odd Mercado]]/Tabela37[[#This Row],[Odd Gatilho]])-1</f>
        <v>-1</v>
      </c>
      <c r="M29" s="17" t="str">
        <f t="shared" si="0"/>
        <v>🔴 Evitar</v>
      </c>
      <c r="N29" s="26"/>
      <c r="O29" s="19" t="str">
        <f>IF(N30="","— digite a odd —",IF(N30&gt;=1.1/(1.1/Tabela37[[#This Row],[Odd Gatilho]]),"✅ ENTRA (edge "&amp;TEXT(N30*(1.1/Tabela37[[#This Row],[Odd Gatilho]])-1,"0%")&amp;")",IF(N30&gt;=1/(1.1/Tabela37[[#This Row],[Odd Gatilho]]),"🟡 break-even (edge "&amp;TEXT(N30*(1.1/Tabela37[[#This Row],[Odd Gatilho]])-1,"0%")&amp;")","❌ sem valor")))</f>
        <v>— digite a odd —</v>
      </c>
      <c r="P29" s="19" t="str">
        <f t="shared" si="4"/>
        <v/>
      </c>
      <c r="Q29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29" s="1" t="e">
        <f t="shared" si="2"/>
        <v>#VALUE!</v>
      </c>
      <c r="S29" s="1" t="e">
        <f t="shared" si="3"/>
        <v>#VALUE!</v>
      </c>
      <c r="T29" s="1">
        <f>IFERROR(AVERAGE(INDEX('Jogos do Dia'!$O$2:$O$5,MATCH(R29&amp;"|"&amp;S29,'Jogos do Dia'!$AJ$2:$AJ$5,0)),INDEX('Jogos do Dia'!$P$2:$P$5,MATCH(S29&amp;"|"&amp;R29,'Jogos do Dia'!$AJ$2:$AJ$5,0))),1.2)</f>
        <v>1.2</v>
      </c>
      <c r="U29" s="1">
        <f>IFERROR(AVERAGE(INDEX('Jogos do Dia'!$O$2:$O$5,MATCH(S29&amp;"|"&amp;R29,'Jogos do Dia'!$AJ$2:$AJ$5,0)),INDEX('Jogos do Dia'!$P$2:$P$5,MATCH(R29&amp;"|"&amp;S29,'Jogos do Dia'!$AJ$2:$AJ$5,0))),1.2)</f>
        <v>1.2</v>
      </c>
    </row>
    <row r="30" spans="1:21" ht="14.25" customHeight="1" x14ac:dyDescent="0.4">
      <c r="A30" s="15"/>
      <c r="B30" s="15"/>
      <c r="C30" s="22"/>
      <c r="D30" s="22"/>
      <c r="E30" s="22"/>
      <c r="F30" s="39" cm="1">
        <f t="array" ref="F30">IFERROR(_xlfn.LET(_xlpm.critOne,D30,_xlpm.critTwo,E30,_xlpm.la,MAX(0,T30),_xlpm.lb,MAX(0,U30)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30" s="4" t="e">
        <f>1/Tabela37[[#This Row],[Odd Mercado]]</f>
        <v>#DIV/0!</v>
      </c>
      <c r="I30" s="4">
        <f>(Tabela37[[#This Row],[P.Plan]]*0.45)+(Tabela37[[#This Row],[P.Font]]*0.55)</f>
        <v>0.44999999999999968</v>
      </c>
      <c r="J30" s="8">
        <f>1/Tabela37[[#This Row],[P.Comb]]</f>
        <v>2.2222222222222237</v>
      </c>
      <c r="L30" s="4">
        <f>(Tabela37[[#This Row],[Odd Mercado]]/Tabela37[[#This Row],[Odd Gatilho]])-1</f>
        <v>-1</v>
      </c>
      <c r="M30" s="17" t="str">
        <f t="shared" si="0"/>
        <v>🔴 Evitar</v>
      </c>
      <c r="N30" s="26"/>
      <c r="O30" s="19" t="str">
        <f>IF(N31="","— digite a odd —",IF(N31&gt;=1.1/(1.1/Tabela37[[#This Row],[Odd Gatilho]]),"✅ ENTRA (edge "&amp;TEXT(N31*(1.1/Tabela37[[#This Row],[Odd Gatilho]])-1,"0%")&amp;")",IF(N31&gt;=1/(1.1/Tabela37[[#This Row],[Odd Gatilho]]),"🟡 break-even (edge "&amp;TEXT(N31*(1.1/Tabela37[[#This Row],[Odd Gatilho]])-1,"0%")&amp;")","❌ sem valor")))</f>
        <v>— digite a odd —</v>
      </c>
      <c r="P30" s="19" t="str">
        <f t="shared" si="4"/>
        <v/>
      </c>
      <c r="Q30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30" s="1" t="e">
        <f t="shared" si="2"/>
        <v>#VALUE!</v>
      </c>
      <c r="S30" s="1" t="e">
        <f t="shared" si="3"/>
        <v>#VALUE!</v>
      </c>
      <c r="T30" s="1">
        <f>IFERROR(AVERAGE(INDEX('Jogos do Dia'!$O$2:$O$5,MATCH(R30&amp;"|"&amp;S30,'Jogos do Dia'!$AJ$2:$AJ$5,0)),INDEX('Jogos do Dia'!$P$2:$P$5,MATCH(S30&amp;"|"&amp;R30,'Jogos do Dia'!$AJ$2:$AJ$5,0))),1.2)</f>
        <v>1.2</v>
      </c>
      <c r="U30" s="1">
        <f>IFERROR(AVERAGE(INDEX('Jogos do Dia'!$O$2:$O$5,MATCH(S30&amp;"|"&amp;R30,'Jogos do Dia'!$AJ$2:$AJ$5,0)),INDEX('Jogos do Dia'!$P$2:$P$5,MATCH(R30&amp;"|"&amp;S30,'Jogos do Dia'!$AJ$2:$AJ$5,0))),1.2)</f>
        <v>1.2</v>
      </c>
    </row>
    <row r="31" spans="1:21" ht="14.25" customHeight="1" x14ac:dyDescent="0.4">
      <c r="A31" s="15"/>
      <c r="B31" s="15"/>
      <c r="C31" s="22"/>
      <c r="D31" s="22"/>
      <c r="E31" s="22"/>
      <c r="F31" s="39" cm="1">
        <f t="array" ref="F31">IFERROR(_xlfn.LET(_xlpm.critOne,D31,_xlpm.critTwo,E31,_xlpm.la,MAX(0,T31),_xlpm.lb,MAX(0,U31)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31" s="4" t="e">
        <f>1/Tabela37[[#This Row],[Odd Mercado]]</f>
        <v>#DIV/0!</v>
      </c>
      <c r="I31" s="4">
        <f>(Tabela37[[#This Row],[P.Plan]]*0.45)+(Tabela37[[#This Row],[P.Font]]*0.55)</f>
        <v>0.44999999999999968</v>
      </c>
      <c r="J31" s="8">
        <f>1/Tabela37[[#This Row],[P.Comb]]</f>
        <v>2.2222222222222237</v>
      </c>
      <c r="L31" s="4">
        <f>(Tabela37[[#This Row],[Odd Mercado]]/Tabela37[[#This Row],[Odd Gatilho]])-1</f>
        <v>-1</v>
      </c>
      <c r="M31" s="17" t="str">
        <f t="shared" si="0"/>
        <v>🔴 Evitar</v>
      </c>
      <c r="N31" s="26"/>
      <c r="O31" s="19" t="str">
        <f>IF(N32="","— digite a odd —",IF(N32&gt;=1.1/(1.1/Tabela37[[#This Row],[Odd Gatilho]]),"✅ ENTRA (edge "&amp;TEXT(N32*(1.1/Tabela37[[#This Row],[Odd Gatilho]])-1,"0%")&amp;")",IF(N32&gt;=1/(1.1/Tabela37[[#This Row],[Odd Gatilho]]),"🟡 break-even (edge "&amp;TEXT(N32*(1.1/Tabela37[[#This Row],[Odd Gatilho]])-1,"0%")&amp;")","❌ sem valor")))</f>
        <v>— digite a odd —</v>
      </c>
      <c r="P31" s="19" t="str">
        <f t="shared" si="4"/>
        <v/>
      </c>
      <c r="Q31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31" s="1" t="e">
        <f t="shared" si="2"/>
        <v>#VALUE!</v>
      </c>
      <c r="S31" s="1" t="e">
        <f t="shared" si="3"/>
        <v>#VALUE!</v>
      </c>
      <c r="T31" s="1">
        <f>IFERROR(AVERAGE(INDEX('Jogos do Dia'!$O$2:$O$5,MATCH(R31&amp;"|"&amp;S31,'Jogos do Dia'!$AJ$2:$AJ$5,0)),INDEX('Jogos do Dia'!$P$2:$P$5,MATCH(S31&amp;"|"&amp;R31,'Jogos do Dia'!$AJ$2:$AJ$5,0))),1.2)</f>
        <v>1.2</v>
      </c>
      <c r="U31" s="1">
        <f>IFERROR(AVERAGE(INDEX('Jogos do Dia'!$O$2:$O$5,MATCH(S31&amp;"|"&amp;R31,'Jogos do Dia'!$AJ$2:$AJ$5,0)),INDEX('Jogos do Dia'!$P$2:$P$5,MATCH(R31&amp;"|"&amp;S31,'Jogos do Dia'!$AJ$2:$AJ$5,0))),1.2)</f>
        <v>1.2</v>
      </c>
    </row>
    <row r="32" spans="1:21" ht="14.25" customHeight="1" x14ac:dyDescent="0.4">
      <c r="A32" s="15"/>
      <c r="B32" s="15"/>
      <c r="C32" s="23"/>
      <c r="D32" s="23"/>
      <c r="E32" s="23"/>
      <c r="F32" s="39" cm="1">
        <f t="array" ref="F32">IFERROR(_xlfn.LET(_xlpm.critOne,D32,_xlpm.critTwo,E32,_xlpm.la,MAX(0,T32),_xlpm.lb,MAX(0,U32)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32" s="4" t="e">
        <f>1/Tabela37[[#This Row],[Odd Mercado]]</f>
        <v>#DIV/0!</v>
      </c>
      <c r="I32" s="4">
        <f>(Tabela37[[#This Row],[P.Plan]]*0.45)+(Tabela37[[#This Row],[P.Font]]*0.55)</f>
        <v>0.44999999999999968</v>
      </c>
      <c r="J32" s="8">
        <f>1/Tabela37[[#This Row],[P.Comb]]</f>
        <v>2.2222222222222237</v>
      </c>
      <c r="L32" s="4">
        <f>(Tabela37[[#This Row],[Odd Mercado]]/Tabela37[[#This Row],[Odd Gatilho]])-1</f>
        <v>-1</v>
      </c>
      <c r="M32" s="17" t="str">
        <f t="shared" si="0"/>
        <v>🔴 Evitar</v>
      </c>
      <c r="N32" s="26"/>
      <c r="O32" s="19" t="str">
        <f>IF(N33="","— digite a odd —",IF(N33&gt;=1.1/(1.1/Tabela37[[#This Row],[Odd Gatilho]]),"✅ ENTRA (edge "&amp;TEXT(N33*(1.1/Tabela37[[#This Row],[Odd Gatilho]])-1,"0%")&amp;")",IF(N33&gt;=1/(1.1/Tabela37[[#This Row],[Odd Gatilho]]),"🟡 break-even (edge "&amp;TEXT(N33*(1.1/Tabela37[[#This Row],[Odd Gatilho]])-1,"0%")&amp;")","❌ sem valor")))</f>
        <v>— digite a odd —</v>
      </c>
      <c r="P32" s="19" t="str">
        <f t="shared" si="4"/>
        <v/>
      </c>
      <c r="Q32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32" s="1" t="e">
        <f t="shared" si="2"/>
        <v>#VALUE!</v>
      </c>
      <c r="S32" s="1" t="e">
        <f t="shared" si="3"/>
        <v>#VALUE!</v>
      </c>
      <c r="T32" s="1">
        <f>IFERROR(AVERAGE(INDEX('Jogos do Dia'!$O$2:$O$5,MATCH(R32&amp;"|"&amp;S32,'Jogos do Dia'!$AJ$2:$AJ$5,0)),INDEX('Jogos do Dia'!$P$2:$P$5,MATCH(S32&amp;"|"&amp;R32,'Jogos do Dia'!$AJ$2:$AJ$5,0))),1.2)</f>
        <v>1.2</v>
      </c>
      <c r="U32" s="1">
        <f>IFERROR(AVERAGE(INDEX('Jogos do Dia'!$O$2:$O$5,MATCH(S32&amp;"|"&amp;R32,'Jogos do Dia'!$AJ$2:$AJ$5,0)),INDEX('Jogos do Dia'!$P$2:$P$5,MATCH(R32&amp;"|"&amp;S32,'Jogos do Dia'!$AJ$2:$AJ$5,0))),1.2)</f>
        <v>1.2</v>
      </c>
    </row>
    <row r="33" spans="1:21" ht="14.25" customHeight="1" x14ac:dyDescent="0.4">
      <c r="A33" s="15"/>
      <c r="B33" s="15"/>
      <c r="C33" s="23"/>
      <c r="D33" s="23"/>
      <c r="E33" s="23"/>
      <c r="F33" s="39" cm="1">
        <f t="array" ref="F33">IFERROR(_xlfn.LET(_xlpm.critOne,D33,_xlpm.critTwo,E33,_xlpm.la,MAX(0,T33),_xlpm.lb,MAX(0,U33)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33" s="4" t="e">
        <f>1/Tabela37[[#This Row],[Odd Mercado]]</f>
        <v>#DIV/0!</v>
      </c>
      <c r="I33" s="4">
        <f>(Tabela37[[#This Row],[P.Plan]]*0.45)+(Tabela37[[#This Row],[P.Font]]*0.55)</f>
        <v>0.44999999999999968</v>
      </c>
      <c r="J33" s="8">
        <f>1/Tabela37[[#This Row],[P.Comb]]</f>
        <v>2.2222222222222237</v>
      </c>
      <c r="L33" s="4">
        <f>(Tabela37[[#This Row],[Odd Mercado]]/Tabela37[[#This Row],[Odd Gatilho]])-1</f>
        <v>-1</v>
      </c>
      <c r="M33" s="17" t="str">
        <f t="shared" si="0"/>
        <v>🔴 Evitar</v>
      </c>
      <c r="N33" s="26"/>
      <c r="O33" s="19" t="str">
        <f>IF(N34="","— digite a odd —",IF(N34&gt;=1.1/(1.1/Tabela37[[#This Row],[Odd Gatilho]]),"✅ ENTRA (edge "&amp;TEXT(N34*(1.1/Tabela37[[#This Row],[Odd Gatilho]])-1,"0%")&amp;")",IF(N34&gt;=1/(1.1/Tabela37[[#This Row],[Odd Gatilho]]),"🟡 break-even (edge "&amp;TEXT(N34*(1.1/Tabela37[[#This Row],[Odd Gatilho]])-1,"0%")&amp;")","❌ sem valor")))</f>
        <v>— digite a odd —</v>
      </c>
      <c r="P33" s="19" t="str">
        <f t="shared" si="4"/>
        <v/>
      </c>
      <c r="Q33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33" s="1" t="e">
        <f t="shared" si="2"/>
        <v>#VALUE!</v>
      </c>
      <c r="S33" s="1" t="e">
        <f t="shared" si="3"/>
        <v>#VALUE!</v>
      </c>
      <c r="T33" s="1">
        <f>IFERROR(AVERAGE(INDEX('Jogos do Dia'!$O$2:$O$5,MATCH(R33&amp;"|"&amp;S33,'Jogos do Dia'!$AJ$2:$AJ$5,0)),INDEX('Jogos do Dia'!$P$2:$P$5,MATCH(S33&amp;"|"&amp;R33,'Jogos do Dia'!$AJ$2:$AJ$5,0))),1.2)</f>
        <v>1.2</v>
      </c>
      <c r="U33" s="1">
        <f>IFERROR(AVERAGE(INDEX('Jogos do Dia'!$O$2:$O$5,MATCH(S33&amp;"|"&amp;R33,'Jogos do Dia'!$AJ$2:$AJ$5,0)),INDEX('Jogos do Dia'!$P$2:$P$5,MATCH(R33&amp;"|"&amp;S33,'Jogos do Dia'!$AJ$2:$AJ$5,0))),1.2)</f>
        <v>1.2</v>
      </c>
    </row>
    <row r="34" spans="1:21" ht="14.25" customHeight="1" x14ac:dyDescent="0.4">
      <c r="A34" s="15"/>
      <c r="B34" s="15"/>
      <c r="C34" s="23"/>
      <c r="D34" s="23"/>
      <c r="E34" s="23"/>
      <c r="F34" s="39" cm="1">
        <f t="array" ref="F34">IFERROR(_xlfn.LET(_xlpm.critOne,D34,_xlpm.critTwo,E34,_xlpm.la,MAX(0,T34),_xlpm.lb,MAX(0,U34)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34" s="4" t="e">
        <f>1/Tabela37[[#This Row],[Odd Mercado]]</f>
        <v>#DIV/0!</v>
      </c>
      <c r="I34" s="4">
        <f>(Tabela37[[#This Row],[P.Plan]]*0.45)+(Tabela37[[#This Row],[P.Font]]*0.55)</f>
        <v>0.44999999999999968</v>
      </c>
      <c r="J34" s="8">
        <f>1/Tabela37[[#This Row],[P.Comb]]</f>
        <v>2.2222222222222237</v>
      </c>
      <c r="L34" s="4">
        <f>(Tabela37[[#This Row],[Odd Mercado]]/Tabela37[[#This Row],[Odd Gatilho]])-1</f>
        <v>-1</v>
      </c>
      <c r="M34" s="17" t="str">
        <f t="shared" si="0"/>
        <v>🔴 Evitar</v>
      </c>
      <c r="N34" s="26"/>
      <c r="O34" s="19" t="str">
        <f>IF(N35="","— digite a odd —",IF(N35&gt;=1.1/(1.1/Tabela37[[#This Row],[Odd Gatilho]]),"✅ ENTRA (edge "&amp;TEXT(N35*(1.1/Tabela37[[#This Row],[Odd Gatilho]])-1,"0%")&amp;")",IF(N35&gt;=1/(1.1/Tabela37[[#This Row],[Odd Gatilho]]),"🟡 break-even (edge "&amp;TEXT(N35*(1.1/Tabela37[[#This Row],[Odd Gatilho]])-1,"0%")&amp;")","❌ sem valor")))</f>
        <v>— digite a odd —</v>
      </c>
      <c r="P34" s="19" t="str">
        <f t="shared" si="4"/>
        <v/>
      </c>
      <c r="Q34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34" s="1" t="e">
        <f t="shared" si="2"/>
        <v>#VALUE!</v>
      </c>
      <c r="S34" s="1" t="e">
        <f t="shared" si="3"/>
        <v>#VALUE!</v>
      </c>
      <c r="T34" s="1">
        <f>IFERROR(AVERAGE(INDEX('Jogos do Dia'!$O$2:$O$5,MATCH(R34&amp;"|"&amp;S34,'Jogos do Dia'!$AJ$2:$AJ$5,0)),INDEX('Jogos do Dia'!$P$2:$P$5,MATCH(S34&amp;"|"&amp;R34,'Jogos do Dia'!$AJ$2:$AJ$5,0))),1.2)</f>
        <v>1.2</v>
      </c>
      <c r="U34" s="1">
        <f>IFERROR(AVERAGE(INDEX('Jogos do Dia'!$O$2:$O$5,MATCH(S34&amp;"|"&amp;R34,'Jogos do Dia'!$AJ$2:$AJ$5,0)),INDEX('Jogos do Dia'!$P$2:$P$5,MATCH(R34&amp;"|"&amp;S34,'Jogos do Dia'!$AJ$2:$AJ$5,0))),1.2)</f>
        <v>1.2</v>
      </c>
    </row>
    <row r="35" spans="1:21" ht="14.25" customHeight="1" x14ac:dyDescent="0.4">
      <c r="A35" s="15"/>
      <c r="B35" s="15"/>
      <c r="C35" s="27"/>
      <c r="D35" s="27"/>
      <c r="E35" s="27"/>
      <c r="F35" s="39" cm="1">
        <f t="array" ref="F35">IFERROR(_xlfn.LET(_xlpm.critOne,D35,_xlpm.critTwo,E35,_xlpm.la,MAX(0,T35),_xlpm.lb,MAX(0,U35)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35" s="4" t="e">
        <f>1/Tabela37[[#This Row],[Odd Mercado]]</f>
        <v>#DIV/0!</v>
      </c>
      <c r="I35" s="4">
        <f>(Tabela37[[#This Row],[P.Plan]]*0.45)+(Tabela37[[#This Row],[P.Font]]*0.55)</f>
        <v>0.44999999999999968</v>
      </c>
      <c r="J35" s="8">
        <f>1/Tabela37[[#This Row],[P.Comb]]</f>
        <v>2.2222222222222237</v>
      </c>
      <c r="L35" s="4">
        <f>(Tabela37[[#This Row],[Odd Mercado]]/Tabela37[[#This Row],[Odd Gatilho]])-1</f>
        <v>-1</v>
      </c>
      <c r="M35" s="17" t="str">
        <f t="shared" si="0"/>
        <v>🔴 Evitar</v>
      </c>
      <c r="N35" s="26"/>
      <c r="O35" s="19" t="str">
        <f>IF(N36="","— digite a odd —",IF(N36&gt;=1.1/(1.1/Tabela37[[#This Row],[Odd Gatilho]]),"✅ ENTRA (edge "&amp;TEXT(N36*(1.1/Tabela37[[#This Row],[Odd Gatilho]])-1,"0%")&amp;")",IF(N36&gt;=1/(1.1/Tabela37[[#This Row],[Odd Gatilho]]),"🟡 break-even (edge "&amp;TEXT(N36*(1.1/Tabela37[[#This Row],[Odd Gatilho]])-1,"0%")&amp;")","❌ sem valor")))</f>
        <v>— digite a odd —</v>
      </c>
      <c r="P35" s="19" t="str">
        <f t="shared" si="4"/>
        <v/>
      </c>
      <c r="Q35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35" s="1" t="e">
        <f t="shared" si="2"/>
        <v>#VALUE!</v>
      </c>
      <c r="S35" s="1" t="e">
        <f t="shared" si="3"/>
        <v>#VALUE!</v>
      </c>
      <c r="T35" s="1">
        <f>IFERROR(AVERAGE(INDEX('Jogos do Dia'!$O$2:$O$5,MATCH(R35&amp;"|"&amp;S35,'Jogos do Dia'!$AJ$2:$AJ$5,0)),INDEX('Jogos do Dia'!$P$2:$P$5,MATCH(S35&amp;"|"&amp;R35,'Jogos do Dia'!$AJ$2:$AJ$5,0))),1.2)</f>
        <v>1.2</v>
      </c>
      <c r="U35" s="1">
        <f>IFERROR(AVERAGE(INDEX('Jogos do Dia'!$O$2:$O$5,MATCH(S35&amp;"|"&amp;R35,'Jogos do Dia'!$AJ$2:$AJ$5,0)),INDEX('Jogos do Dia'!$P$2:$P$5,MATCH(R35&amp;"|"&amp;S35,'Jogos do Dia'!$AJ$2:$AJ$5,0))),1.2)</f>
        <v>1.2</v>
      </c>
    </row>
    <row r="36" spans="1:21" ht="14.25" customHeight="1" x14ac:dyDescent="0.4">
      <c r="A36" s="15"/>
      <c r="B36" s="15"/>
      <c r="C36" s="27"/>
      <c r="D36" s="27"/>
      <c r="E36" s="27"/>
      <c r="F36" s="39" cm="1">
        <f t="array" ref="F36">IFERROR(_xlfn.LET(_xlpm.critOne,D36,_xlpm.critTwo,E36,_xlpm.la,MAX(0,T36),_xlpm.lb,MAX(0,U36)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36" s="4" t="e">
        <f>1/Tabela37[[#This Row],[Odd Mercado]]</f>
        <v>#DIV/0!</v>
      </c>
      <c r="I36" s="4">
        <f>(Tabela37[[#This Row],[P.Plan]]*0.45)+(Tabela37[[#This Row],[P.Font]]*0.55)</f>
        <v>0.44999999999999968</v>
      </c>
      <c r="J36" s="8">
        <f>1/Tabela37[[#This Row],[P.Comb]]</f>
        <v>2.2222222222222237</v>
      </c>
      <c r="L36" s="4">
        <f>(Tabela37[[#This Row],[Odd Mercado]]/Tabela37[[#This Row],[Odd Gatilho]])-1</f>
        <v>-1</v>
      </c>
      <c r="M36" s="17" t="str">
        <f t="shared" si="0"/>
        <v>🔴 Evitar</v>
      </c>
      <c r="N36" s="26"/>
      <c r="O36" s="19" t="str">
        <f>IF(N37="","— digite a odd —",IF(N37&gt;=1.1/(1.1/Tabela37[[#This Row],[Odd Gatilho]]),"✅ ENTRA (edge "&amp;TEXT(N37*(1.1/Tabela37[[#This Row],[Odd Gatilho]])-1,"0%")&amp;")",IF(N37&gt;=1/(1.1/Tabela37[[#This Row],[Odd Gatilho]]),"🟡 break-even (edge "&amp;TEXT(N37*(1.1/Tabela37[[#This Row],[Odd Gatilho]])-1,"0%")&amp;")","❌ sem valor")))</f>
        <v>— digite a odd —</v>
      </c>
      <c r="P36" s="19" t="str">
        <f t="shared" si="4"/>
        <v/>
      </c>
      <c r="Q36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36" s="1" t="e">
        <f t="shared" si="2"/>
        <v>#VALUE!</v>
      </c>
      <c r="S36" s="1" t="e">
        <f t="shared" si="3"/>
        <v>#VALUE!</v>
      </c>
      <c r="T36" s="1">
        <f>IFERROR(AVERAGE(INDEX('Jogos do Dia'!$O$2:$O$5,MATCH(R36&amp;"|"&amp;S36,'Jogos do Dia'!$AJ$2:$AJ$5,0)),INDEX('Jogos do Dia'!$P$2:$P$5,MATCH(S36&amp;"|"&amp;R36,'Jogos do Dia'!$AJ$2:$AJ$5,0))),1.2)</f>
        <v>1.2</v>
      </c>
      <c r="U36" s="1">
        <f>IFERROR(AVERAGE(INDEX('Jogos do Dia'!$O$2:$O$5,MATCH(S36&amp;"|"&amp;R36,'Jogos do Dia'!$AJ$2:$AJ$5,0)),INDEX('Jogos do Dia'!$P$2:$P$5,MATCH(R36&amp;"|"&amp;S36,'Jogos do Dia'!$AJ$2:$AJ$5,0))),1.2)</f>
        <v>1.2</v>
      </c>
    </row>
    <row r="37" spans="1:21" ht="14.25" customHeight="1" x14ac:dyDescent="0.4">
      <c r="A37" s="15"/>
      <c r="B37" s="15"/>
      <c r="C37" s="27"/>
      <c r="D37" s="27"/>
      <c r="E37" s="27"/>
      <c r="F37" s="39" cm="1">
        <f t="array" ref="F37">IFERROR(_xlfn.LET(_xlpm.critOne,D37,_xlpm.critTwo,E37,_xlpm.la,MAX(0,T37),_xlpm.lb,MAX(0,U37)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37" s="4" t="e">
        <f>1/Tabela37[[#This Row],[Odd Mercado]]</f>
        <v>#DIV/0!</v>
      </c>
      <c r="I37" s="4">
        <f>(Tabela37[[#This Row],[P.Plan]]*0.45)+(Tabela37[[#This Row],[P.Font]]*0.55)</f>
        <v>0.44999999999999968</v>
      </c>
      <c r="J37" s="8">
        <f>1/Tabela37[[#This Row],[P.Comb]]</f>
        <v>2.2222222222222237</v>
      </c>
      <c r="L37" s="4">
        <f>(Tabela37[[#This Row],[Odd Mercado]]/Tabela37[[#This Row],[Odd Gatilho]])-1</f>
        <v>-1</v>
      </c>
      <c r="M37" s="17" t="str">
        <f t="shared" si="0"/>
        <v>🔴 Evitar</v>
      </c>
      <c r="N37" s="26"/>
      <c r="O37" s="19" t="str">
        <f>IF(N38="","— digite a odd —",IF(N38&gt;=1.1/(1.1/Tabela37[[#This Row],[Odd Gatilho]]),"✅ ENTRA (edge "&amp;TEXT(N38*(1.1/Tabela37[[#This Row],[Odd Gatilho]])-1,"0%")&amp;")",IF(N38&gt;=1/(1.1/Tabela37[[#This Row],[Odd Gatilho]]),"🟡 break-even (edge "&amp;TEXT(N38*(1.1/Tabela37[[#This Row],[Odd Gatilho]])-1,"0%")&amp;")","❌ sem valor")))</f>
        <v>— digite a odd —</v>
      </c>
      <c r="P37" s="19" t="str">
        <f t="shared" si="4"/>
        <v/>
      </c>
      <c r="Q37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37" s="1" t="e">
        <f t="shared" si="2"/>
        <v>#VALUE!</v>
      </c>
      <c r="S37" s="1" t="e">
        <f t="shared" si="3"/>
        <v>#VALUE!</v>
      </c>
      <c r="T37" s="1">
        <f>IFERROR(AVERAGE(INDEX('Jogos do Dia'!$O$2:$O$5,MATCH(R37&amp;"|"&amp;S37,'Jogos do Dia'!$AJ$2:$AJ$5,0)),INDEX('Jogos do Dia'!$P$2:$P$5,MATCH(S37&amp;"|"&amp;R37,'Jogos do Dia'!$AJ$2:$AJ$5,0))),1.2)</f>
        <v>1.2</v>
      </c>
      <c r="U37" s="1">
        <f>IFERROR(AVERAGE(INDEX('Jogos do Dia'!$O$2:$O$5,MATCH(S37&amp;"|"&amp;R37,'Jogos do Dia'!$AJ$2:$AJ$5,0)),INDEX('Jogos do Dia'!$P$2:$P$5,MATCH(R37&amp;"|"&amp;S37,'Jogos do Dia'!$AJ$2:$AJ$5,0))),1.2)</f>
        <v>1.2</v>
      </c>
    </row>
    <row r="38" spans="1:21" ht="14.25" customHeight="1" x14ac:dyDescent="0.4">
      <c r="A38" s="15"/>
      <c r="B38" s="15"/>
      <c r="C38" s="28"/>
      <c r="D38" s="28"/>
      <c r="E38" s="28"/>
      <c r="F38" s="39" cm="1">
        <f t="array" ref="F38">IFERROR(_xlfn.LET(_xlpm.critOne,D38,_xlpm.critTwo,E38,_xlpm.la,MAX(0,T38),_xlpm.lb,MAX(0,U38)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38" s="4" t="e">
        <f>1/Tabela37[[#This Row],[Odd Mercado]]</f>
        <v>#DIV/0!</v>
      </c>
      <c r="I38" s="4">
        <f>(Tabela37[[#This Row],[P.Plan]]*0.45)+(Tabela37[[#This Row],[P.Font]]*0.55)</f>
        <v>0.44999999999999968</v>
      </c>
      <c r="J38" s="8">
        <f>1/Tabela37[[#This Row],[P.Comb]]</f>
        <v>2.2222222222222237</v>
      </c>
      <c r="L38" s="4">
        <f>(Tabela37[[#This Row],[Odd Mercado]]/Tabela37[[#This Row],[Odd Gatilho]])-1</f>
        <v>-1</v>
      </c>
      <c r="M38" s="17" t="str">
        <f t="shared" si="0"/>
        <v>🔴 Evitar</v>
      </c>
      <c r="N38" s="26"/>
      <c r="O38" s="19" t="str">
        <f>IF(N39="","— digite a odd —",IF(N39&gt;=1.1/(1.1/Tabela37[[#This Row],[Odd Gatilho]]),"✅ ENTRA (edge "&amp;TEXT(N39*(1.1/Tabela37[[#This Row],[Odd Gatilho]])-1,"0%")&amp;")",IF(N39&gt;=1/(1.1/Tabela37[[#This Row],[Odd Gatilho]]),"🟡 break-even (edge "&amp;TEXT(N39*(1.1/Tabela37[[#This Row],[Odd Gatilho]])-1,"0%")&amp;")","❌ sem valor")))</f>
        <v>— digite a odd —</v>
      </c>
      <c r="P38" s="19" t="str">
        <f t="shared" si="4"/>
        <v/>
      </c>
      <c r="Q38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38" s="1" t="e">
        <f t="shared" si="2"/>
        <v>#VALUE!</v>
      </c>
      <c r="S38" s="1" t="e">
        <f t="shared" si="3"/>
        <v>#VALUE!</v>
      </c>
      <c r="T38" s="1">
        <f>IFERROR(AVERAGE(INDEX('Jogos do Dia'!$O$2:$O$5,MATCH(R38&amp;"|"&amp;S38,'Jogos do Dia'!$AJ$2:$AJ$5,0)),INDEX('Jogos do Dia'!$P$2:$P$5,MATCH(S38&amp;"|"&amp;R38,'Jogos do Dia'!$AJ$2:$AJ$5,0))),1.2)</f>
        <v>1.2</v>
      </c>
      <c r="U38" s="1">
        <f>IFERROR(AVERAGE(INDEX('Jogos do Dia'!$O$2:$O$5,MATCH(S38&amp;"|"&amp;R38,'Jogos do Dia'!$AJ$2:$AJ$5,0)),INDEX('Jogos do Dia'!$P$2:$P$5,MATCH(R38&amp;"|"&amp;S38,'Jogos do Dia'!$AJ$2:$AJ$5,0))),1.2)</f>
        <v>1.2</v>
      </c>
    </row>
    <row r="39" spans="1:21" ht="14.25" customHeight="1" x14ac:dyDescent="0.4">
      <c r="A39" s="15"/>
      <c r="B39" s="15"/>
      <c r="C39" s="28"/>
      <c r="D39" s="28"/>
      <c r="E39" s="28"/>
      <c r="F39" s="39" cm="1">
        <f t="array" ref="F39">IFERROR(_xlfn.LET(_xlpm.critOne,D39,_xlpm.critTwo,E39,_xlpm.la,MAX(0,T39),_xlpm.lb,MAX(0,U39)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39" s="4" t="e">
        <f>1/Tabela37[[#This Row],[Odd Mercado]]</f>
        <v>#DIV/0!</v>
      </c>
      <c r="I39" s="4">
        <f>(Tabela37[[#This Row],[P.Plan]]*0.45)+(Tabela37[[#This Row],[P.Font]]*0.55)</f>
        <v>0.44999999999999968</v>
      </c>
      <c r="J39" s="8">
        <f>1/Tabela37[[#This Row],[P.Comb]]</f>
        <v>2.2222222222222237</v>
      </c>
      <c r="L39" s="4">
        <f>(Tabela37[[#This Row],[Odd Mercado]]/Tabela37[[#This Row],[Odd Gatilho]])-1</f>
        <v>-1</v>
      </c>
      <c r="M39" s="17" t="str">
        <f t="shared" si="0"/>
        <v>🔴 Evitar</v>
      </c>
      <c r="N39" s="26"/>
      <c r="O39" s="19" t="str">
        <f>IF(N40="","— digite a odd —",IF(N40&gt;=1.1/(1.1/Tabela37[[#This Row],[Odd Gatilho]]),"✅ ENTRA (edge "&amp;TEXT(N40*(1.1/Tabela37[[#This Row],[Odd Gatilho]])-1,"0%")&amp;")",IF(N40&gt;=1/(1.1/Tabela37[[#This Row],[Odd Gatilho]]),"🟡 break-even (edge "&amp;TEXT(N40*(1.1/Tabela37[[#This Row],[Odd Gatilho]])-1,"0%")&amp;")","❌ sem valor")))</f>
        <v>— digite a odd —</v>
      </c>
      <c r="P39" s="19" t="str">
        <f t="shared" si="4"/>
        <v/>
      </c>
      <c r="Q39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39" s="1" t="e">
        <f t="shared" si="2"/>
        <v>#VALUE!</v>
      </c>
      <c r="S39" s="1" t="e">
        <f t="shared" si="3"/>
        <v>#VALUE!</v>
      </c>
      <c r="T39" s="1">
        <f>IFERROR(AVERAGE(INDEX('Jogos do Dia'!$O$2:$O$5,MATCH(R39&amp;"|"&amp;S39,'Jogos do Dia'!$AJ$2:$AJ$5,0)),INDEX('Jogos do Dia'!$P$2:$P$5,MATCH(S39&amp;"|"&amp;R39,'Jogos do Dia'!$AJ$2:$AJ$5,0))),1.2)</f>
        <v>1.2</v>
      </c>
      <c r="U39" s="1">
        <f>IFERROR(AVERAGE(INDEX('Jogos do Dia'!$O$2:$O$5,MATCH(S39&amp;"|"&amp;R39,'Jogos do Dia'!$AJ$2:$AJ$5,0)),INDEX('Jogos do Dia'!$P$2:$P$5,MATCH(R39&amp;"|"&amp;S39,'Jogos do Dia'!$AJ$2:$AJ$5,0))),1.2)</f>
        <v>1.2</v>
      </c>
    </row>
    <row r="40" spans="1:21" ht="14.25" customHeight="1" x14ac:dyDescent="0.4">
      <c r="A40" s="15"/>
      <c r="B40" s="15"/>
      <c r="C40" s="28"/>
      <c r="D40" s="28"/>
      <c r="E40" s="28"/>
      <c r="F40" s="39" cm="1">
        <f t="array" ref="F40">IFERROR(_xlfn.LET(_xlpm.critOne,D40,_xlpm.critTwo,E40,_xlpm.la,MAX(0,T40),_xlpm.lb,MAX(0,U40),_xlpm.g,_xlfn.SEQUENCE(21,,0),_xlpm.x,_xlpm.g,_xlpm.y,TRANSPOSE(_xlpm.g),_xlpm.p,_xlfn.POISSON.DIST(_xlpm.x,_xlpm.la,FALSE)*_xlfn.POISSON.DIST(_xlpm.y,_xlpm.lb,FALSE),_xlpm.rawOne,TRIM(IFERROR(_xlfn.TEXTBEFORE(_xlpm.critOne,"|"),_xlpm.critOne)),_xlpm.rawTwo,TRIM(IFERROR(_xlfn.TEXTBEFORE(_xlpm.critTwo,"|"),_xlpm.critTwo)),_xlpm.multOne,IFERROR(_xlfn.NUMBERVALUE(TRIM(_xlfn.TEXTAFTER(_xlpm.critOne,"|")),".",","),1),_xlpm.multTwo,IFERROR(_xlfn.NUMBERVALUE(TRIM(_xlfn.TEXTAFTER(_xlpm.critTwo,"|")),".",","),1),_xlpm.lineOne,IFERROR(_xlfn.NUMBERVALUE(_xlfn.TEXTBEFORE(_xlfn.TEXTAFTER(_xlpm.rawOne," ")&amp;" "," "),".",","),0),_xlpm.lineTwo,IFERROR(_xlfn.NUMBERVALUE(_xlfn.TEXTBEFORE(_xlfn.TEXTAFTER(_xlpm.rawTwo," ")&amp;" "," "),".",","),0),_xlpm.handOne,IFERROR(_xlfn.NUMBERVALUE(_xlfn.TEXTAFTER(_xlpm.rawOne,"AH "),".",","),0),_xlpm.handTwo,IFERROR(_xlfn.NUMBERVALUE(_xlfn.TEXTAFTER(_xlpm.rawTwo,"AH "),".",","),0),_xlpm.lambdaFt,(_xlpm.la+_xlpm.lb)*0.42,_xlpm.condOne,IF(_xlpm.rawOne="",1,IF(_xlpm.rawOne="BTTS Sim",--((_xlpm.x&gt;0)*(_xlpm.y&gt;0)),IF(_xlpm.rawOne="BTTS Não",--(((_xlpm.x=0)+(_xlpm.y=0))&gt;0),IF(ISNUMBER(SEARCH(" 1T",_xlpm.rawOne)),IF(LEFT(_xlpm.rawOne,4)="Over",1-_xlfn.POISSON.DIST(INT(_xlpm.lineOne),_xlpm.lambdaFt,TRUE),_xlfn.POISSON.DIST(INT(_xlpm.lineOne),_xlpm.lambdaFt,TRUE)),IF(LEFT(_xlpm.rawOne,4)="Over",--((_xlpm.x+_xlpm.y)&gt;_xlpm.lineOne),IF(LEFT(_xlpm.rawOne,5)="Under",--((_xlpm.x+_xlpm.y)&lt;_xlpm.lineOne),IF(_xlpm.rawOne="TimeA vence",--(_xlpm.x&gt;_xlpm.y),IF(_xlpm.rawOne="TimeB vence",--(_xlpm.y&gt;_xlpm.x),IF(_xlpm.rawOne="Empate",--(_xlpm.x=_xlpm.y),IF(_xlpm.rawOne="TimeA DC",--(_xlpm.x&gt;=_xlpm.y),IF(_xlpm.rawOne="TimeB DC",--(_xlpm.y&gt;=_xlpm.x),IF(ISNUMBER(SEARCH("TimeA AH",_xlpm.rawOne)),--(_xlpm.x+_xlpm.handOne&gt;_xlpm.y),IF(ISNUMBER(SEARCH("TimeB AH",_xlpm.rawOne)),--(_xlpm.y+_xlpm.handOne&gt;_xlpm.x),1))))))))))))),_xlpm.condTwo,IF(_xlpm.rawTwo="",1,IF(_xlpm.rawTwo="BTTS Sim",--((_xlpm.x&gt;0)*(_xlpm.y&gt;0)),IF(_xlpm.rawTwo="BTTS Não",--(((_xlpm.x=0)+(_xlpm.y=0))&gt;0),IF(ISNUMBER(SEARCH(" 1T",_xlpm.rawTwo)),IF(LEFT(_xlpm.rawTwo,4)="Over",1-_xlfn.POISSON.DIST(INT(_xlpm.lineTwo),_xlpm.lambdaFt,TRUE),_xlfn.POISSON.DIST(INT(_xlpm.lineTwo),_xlpm.lambdaFt,TRUE)),IF(LEFT(_xlpm.rawTwo,4)="Over",--((_xlpm.x+_xlpm.y)&gt;_xlpm.lineTwo),IF(LEFT(_xlpm.rawTwo,5)="Under",--((_xlpm.x+_xlpm.y)&lt;_xlpm.lineTwo),IF(_xlpm.rawTwo="TimeA vence",--(_xlpm.x&gt;_xlpm.y),IF(_xlpm.rawTwo="TimeB vence",--(_xlpm.y&gt;_xlpm.x),IF(_xlpm.rawTwo="Empate",--(_xlpm.x=_xlpm.y),IF(_xlpm.rawTwo="TimeA DC",--(_xlpm.x&gt;=_xlpm.y),IF(_xlpm.rawTwo="TimeB DC",--(_xlpm.y&gt;=_xlpm.x),IF(ISNUMBER(SEARCH("TimeA AH",_xlpm.rawTwo)),--(_xlpm.x+_xlpm.handTwo&gt;_xlpm.y),IF(ISNUMBER(SEARCH("TimeB AH",_xlpm.rawTwo)),--(_xlpm.y+_xlpm.handTwo&gt;_xlpm.x),1))))))))))))),SUM(_xlpm.p*_xlpm.condOne*_xlpm.condTwo)*_xlpm.multOne*_xlpm.multTwo),0)</f>
        <v>0.99999999999999922</v>
      </c>
      <c r="H40" s="4" t="e">
        <f>1/Tabela37[[#This Row],[Odd Mercado]]</f>
        <v>#DIV/0!</v>
      </c>
      <c r="I40" s="4">
        <f>(Tabela37[[#This Row],[P.Plan]]*0.45)+(Tabela37[[#This Row],[P.Font]]*0.55)</f>
        <v>0.44999999999999968</v>
      </c>
      <c r="J40" s="8">
        <f>1/Tabela37[[#This Row],[P.Comb]]</f>
        <v>2.2222222222222237</v>
      </c>
      <c r="L40" s="4">
        <f>(Tabela37[[#This Row],[Odd Mercado]]/Tabela37[[#This Row],[Odd Gatilho]])-1</f>
        <v>-1</v>
      </c>
      <c r="M40" s="17" t="str">
        <f t="shared" si="0"/>
        <v>🔴 Evitar</v>
      </c>
      <c r="N40" s="29"/>
      <c r="O40" s="19" t="str">
        <f>IF(N41="","— digite a odd —",IF(N41&gt;=1.1/(1.1/Tabela37[[#This Row],[Odd Gatilho]]),"✅ ENTRA (edge "&amp;TEXT(N41*(1.1/Tabela37[[#This Row],[Odd Gatilho]])-1,"0%")&amp;")",IF(N41&gt;=1/(1.1/Tabela37[[#This Row],[Odd Gatilho]]),"🟡 break-even (edge "&amp;TEXT(N41*(1.1/Tabela37[[#This Row],[Odd Gatilho]])-1,"0%")&amp;")","❌ sem valor")))</f>
        <v>— digite a odd —</v>
      </c>
      <c r="P40" s="25" t="str">
        <f t="shared" si="4"/>
        <v/>
      </c>
      <c r="Q40" s="19" t="e">
        <f>IF(AND(--Tabela37[[#This Row],[P.Plan]]&gt;--Tabela37[[#This Row],[P.Font]],--Tabela37[[#This Row],[P.Font]]&gt;=--Tabela37[[#This Row],[P.Mkt]],--Tabela37[[#This Row],[P.Mkt]]&gt;=60%),"🎯 Edge Real",
   IF(AND(--Tabela37[[#This Row],[P.Font]]&gt;=--Tabela37[[#This Row],[P.Mkt]],--Tabela37[[#This Row],[P.Mkt]]&gt;=60%),"📡 Sinal Externo",
     IF(AND(--Tabela37[[#This Row],[P.Comb]]&gt;=65%,--Tabela37[[#This Row],[Odd Mercado]]&lt;=1.8),"✅ Alta Certeza",
       IF(AND(--Tabela37[[#This Row],[P.Comb]]&gt;=55%,--Tabela37[[#This Row],[Edge]]&gt;0.1),"📊 Referência","❌ Sem critério"))))</f>
        <v>#DIV/0!</v>
      </c>
      <c r="R40" s="1" t="e">
        <f t="shared" si="2"/>
        <v>#VALUE!</v>
      </c>
      <c r="S40" s="1" t="e">
        <f t="shared" si="3"/>
        <v>#VALUE!</v>
      </c>
      <c r="T40" s="1">
        <f>IFERROR(AVERAGE(INDEX('Jogos do Dia'!$O$2:$O$5,MATCH(R40&amp;"|"&amp;S40,'Jogos do Dia'!$AJ$2:$AJ$5,0)),INDEX('Jogos do Dia'!$P$2:$P$5,MATCH(S40&amp;"|"&amp;R40,'Jogos do Dia'!$AJ$2:$AJ$5,0))),1.2)</f>
        <v>1.2</v>
      </c>
      <c r="U40" s="1">
        <f>IFERROR(AVERAGE(INDEX('Jogos do Dia'!$O$2:$O$5,MATCH(S40&amp;"|"&amp;R40,'Jogos do Dia'!$AJ$2:$AJ$5,0)),INDEX('Jogos do Dia'!$P$2:$P$5,MATCH(R40&amp;"|"&amp;S40,'Jogos do Dia'!$AJ$2:$AJ$5,0))),1.2)</f>
        <v>1.2</v>
      </c>
    </row>
    <row r="41" spans="1:21" ht="14.25" customHeight="1" x14ac:dyDescent="0.4"/>
  </sheetData>
  <conditionalFormatting sqref="C2:E41">
    <cfRule type="expression" dxfId="17" priority="7">
      <formula>$C2="BTTS"</formula>
    </cfRule>
    <cfRule type="expression" dxfId="16" priority="8">
      <formula>$C2="Combinação"</formula>
    </cfRule>
    <cfRule type="expression" dxfId="15" priority="9">
      <formula>$C2="Dupla Chance"</formula>
    </cfRule>
    <cfRule type="expression" dxfId="14" priority="10">
      <formula>$C2="Gols 1º Tempo"</formula>
    </cfRule>
    <cfRule type="expression" dxfId="13" priority="11">
      <formula>$C2="Handicap Asiático"</formula>
    </cfRule>
    <cfRule type="expression" dxfId="12" priority="12">
      <formula>$C2="Resultado"</formula>
    </cfRule>
    <cfRule type="expression" dxfId="11" priority="13">
      <formula>$C2="Total gols"</formula>
    </cfRule>
  </conditionalFormatting>
  <conditionalFormatting sqref="M2:M41">
    <cfRule type="expression" dxfId="10" priority="1">
      <formula>ISNUMBER(SEARCH("Evitar",M2))</formula>
    </cfRule>
    <cfRule type="expression" dxfId="9" priority="2">
      <formula>ISNUMBER(SEARCH("Sem valor",M2))</formula>
    </cfRule>
    <cfRule type="expression" dxfId="8" priority="3">
      <formula>ISNUMBER(SEARCH("Borderline",M2))</formula>
    </cfRule>
    <cfRule type="expression" dxfId="7" priority="4">
      <formula>ISNUMBER(SEARCH("Conferir",M2))</formula>
    </cfRule>
    <cfRule type="expression" dxfId="6" priority="5">
      <formula>ISNUMBER(SEARCH("Entra",M2))</formula>
    </cfRule>
    <cfRule type="expression" dxfId="5" priority="6">
      <formula>ISNUMBER(SEARCH("Forte Valor",M2))</formula>
    </cfRule>
  </conditionalFormatting>
  <conditionalFormatting sqref="Q2:Q41">
    <cfRule type="expression" dxfId="4" priority="14">
      <formula>$Q2="🎯 Edge Real"</formula>
    </cfRule>
    <cfRule type="expression" dxfId="3" priority="15">
      <formula>$Q2="📡 Sinal Externo"</formula>
    </cfRule>
    <cfRule type="expression" dxfId="2" priority="16">
      <formula>$Q2="✅ Alta Certeza"</formula>
    </cfRule>
    <cfRule type="expression" dxfId="1" priority="17">
      <formula>$Q2="📊 Referência"</formula>
    </cfRule>
    <cfRule type="expression" dxfId="0" priority="18">
      <formula>$Q2="❌ Sem critério"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6221-1310-4457-BD5C-479C10D1B00A}">
  <dimension ref="A1:H4"/>
  <sheetViews>
    <sheetView showGridLines="0" zoomScale="70" zoomScaleNormal="70" workbookViewId="0">
      <selection activeCell="D10" sqref="D10"/>
    </sheetView>
  </sheetViews>
  <sheetFormatPr defaultColWidth="8.69140625" defaultRowHeight="14.6" x14ac:dyDescent="0.4"/>
  <cols>
    <col min="1" max="1" width="16.15234375" customWidth="1"/>
    <col min="2" max="2" width="33.3046875" customWidth="1"/>
    <col min="3" max="3" width="11.3828125" customWidth="1"/>
    <col min="4" max="4" width="10.3828125" customWidth="1"/>
    <col min="5" max="5" width="10.61328125" customWidth="1"/>
    <col min="6" max="6" width="44.84375" customWidth="1"/>
    <col min="7" max="7" width="30.07421875" customWidth="1"/>
    <col min="8" max="8" width="44.15234375" customWidth="1"/>
  </cols>
  <sheetData>
    <row r="1" spans="1:8" ht="14.25" customHeight="1" x14ac:dyDescent="0.4">
      <c r="A1" s="7" t="s">
        <v>64</v>
      </c>
      <c r="B1" s="7" t="s">
        <v>83</v>
      </c>
      <c r="C1" s="7" t="s">
        <v>84</v>
      </c>
      <c r="D1" s="7" t="s">
        <v>85</v>
      </c>
      <c r="E1" s="7" t="s">
        <v>86</v>
      </c>
      <c r="F1" s="7" t="s">
        <v>87</v>
      </c>
      <c r="G1" s="7" t="s">
        <v>88</v>
      </c>
      <c r="H1" s="7" t="s">
        <v>89</v>
      </c>
    </row>
    <row r="2" spans="1:8" ht="34.5" customHeight="1" x14ac:dyDescent="0.4">
      <c r="A2" s="30"/>
      <c r="B2" s="31"/>
      <c r="C2" s="31"/>
      <c r="D2" s="31"/>
      <c r="E2" s="31"/>
      <c r="F2" s="32"/>
      <c r="G2" s="33"/>
      <c r="H2" s="33"/>
    </row>
    <row r="3" spans="1:8" ht="34.5" customHeight="1" x14ac:dyDescent="0.4">
      <c r="A3" s="30"/>
      <c r="B3" s="31"/>
      <c r="C3" s="31"/>
      <c r="D3" s="31"/>
      <c r="E3" s="31"/>
      <c r="F3" s="32"/>
      <c r="G3" s="33"/>
      <c r="H3" s="33"/>
    </row>
    <row r="4" spans="1:8" ht="14.25" customHeight="1" x14ac:dyDescent="0.4">
      <c r="A4" s="30"/>
      <c r="B4" s="31"/>
      <c r="C4" s="31"/>
      <c r="D4" s="31"/>
      <c r="E4" s="31"/>
      <c r="F4" s="32"/>
      <c r="G4" s="33"/>
      <c r="H4" s="3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8FD4-D248-41E4-A86B-7C91407B3190}">
  <dimension ref="A1:J6"/>
  <sheetViews>
    <sheetView showGridLines="0" zoomScaleNormal="100" workbookViewId="0">
      <selection activeCell="A3" sqref="A3"/>
    </sheetView>
  </sheetViews>
  <sheetFormatPr defaultColWidth="8.69140625" defaultRowHeight="14.6" x14ac:dyDescent="0.4"/>
  <cols>
    <col min="1" max="1" width="16.61328125" customWidth="1"/>
  </cols>
  <sheetData>
    <row r="1" spans="1:10" ht="14.25" customHeight="1" x14ac:dyDescent="0.4">
      <c r="A1" s="47" t="s">
        <v>90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4.25" customHeight="1" x14ac:dyDescent="0.4">
      <c r="A2" s="34" t="s">
        <v>91</v>
      </c>
      <c r="B2" s="48" t="s">
        <v>92</v>
      </c>
      <c r="C2" s="48"/>
      <c r="D2" s="48"/>
      <c r="E2" s="48"/>
      <c r="F2" s="48" t="s">
        <v>93</v>
      </c>
      <c r="G2" s="48"/>
      <c r="H2" s="48" t="s">
        <v>94</v>
      </c>
      <c r="I2" s="48"/>
      <c r="J2" s="48"/>
    </row>
    <row r="3" spans="1:10" ht="22.5" customHeight="1" x14ac:dyDescent="0.4">
      <c r="A3" s="35" t="s">
        <v>95</v>
      </c>
      <c r="B3" s="45" t="s">
        <v>96</v>
      </c>
      <c r="C3" s="45"/>
      <c r="D3" s="45"/>
      <c r="E3" s="45"/>
      <c r="F3" s="46" t="s">
        <v>97</v>
      </c>
      <c r="G3" s="46"/>
      <c r="H3" s="45" t="s">
        <v>98</v>
      </c>
      <c r="I3" s="45"/>
      <c r="J3" s="45"/>
    </row>
    <row r="4" spans="1:10" ht="14.25" customHeight="1" x14ac:dyDescent="0.4">
      <c r="A4" s="36" t="s">
        <v>99</v>
      </c>
      <c r="B4" s="45" t="s">
        <v>100</v>
      </c>
      <c r="C4" s="45"/>
      <c r="D4" s="45"/>
      <c r="E4" s="45"/>
      <c r="F4" s="46" t="s">
        <v>97</v>
      </c>
      <c r="G4" s="46"/>
      <c r="H4" s="45" t="s">
        <v>101</v>
      </c>
      <c r="I4" s="45"/>
      <c r="J4" s="45"/>
    </row>
    <row r="5" spans="1:10" ht="22.5" customHeight="1" x14ac:dyDescent="0.4">
      <c r="A5" s="37" t="s">
        <v>102</v>
      </c>
      <c r="B5" s="45" t="s">
        <v>103</v>
      </c>
      <c r="C5" s="45"/>
      <c r="D5" s="45"/>
      <c r="E5" s="45"/>
      <c r="F5" s="46" t="s">
        <v>104</v>
      </c>
      <c r="G5" s="46"/>
      <c r="H5" s="45" t="s">
        <v>105</v>
      </c>
      <c r="I5" s="45"/>
      <c r="J5" s="45"/>
    </row>
    <row r="6" spans="1:10" ht="22.5" customHeight="1" x14ac:dyDescent="0.4">
      <c r="A6" s="38" t="s">
        <v>106</v>
      </c>
      <c r="B6" s="45" t="s">
        <v>107</v>
      </c>
      <c r="C6" s="45"/>
      <c r="D6" s="45"/>
      <c r="E6" s="45"/>
      <c r="F6" s="46" t="s">
        <v>108</v>
      </c>
      <c r="G6" s="46"/>
      <c r="H6" s="45" t="s">
        <v>109</v>
      </c>
      <c r="I6" s="45"/>
      <c r="J6" s="45"/>
    </row>
  </sheetData>
  <mergeCells count="16">
    <mergeCell ref="A1:J1"/>
    <mergeCell ref="B2:E2"/>
    <mergeCell ref="F2:G2"/>
    <mergeCell ref="H2:J2"/>
    <mergeCell ref="B3:E3"/>
    <mergeCell ref="F3:G3"/>
    <mergeCell ref="H3:J3"/>
    <mergeCell ref="B6:E6"/>
    <mergeCell ref="F6:G6"/>
    <mergeCell ref="H6:J6"/>
    <mergeCell ref="B4:E4"/>
    <mergeCell ref="F4:G4"/>
    <mergeCell ref="H4:J4"/>
    <mergeCell ref="B5:E5"/>
    <mergeCell ref="F5:G5"/>
    <mergeCell ref="H5:J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0B49-78EF-4F1D-BE81-CF18ABCE513F}">
  <dimension ref="A1:C6"/>
  <sheetViews>
    <sheetView showGridLines="0" workbookViewId="0">
      <selection activeCell="B6" sqref="B6"/>
    </sheetView>
  </sheetViews>
  <sheetFormatPr defaultRowHeight="14.6" x14ac:dyDescent="0.4"/>
  <cols>
    <col min="1" max="1" width="21.921875" bestFit="1" customWidth="1"/>
    <col min="2" max="2" width="5.3046875" bestFit="1" customWidth="1"/>
    <col min="3" max="3" width="53.765625" bestFit="1" customWidth="1"/>
  </cols>
  <sheetData>
    <row r="1" spans="1:3" ht="15.9" x14ac:dyDescent="0.45">
      <c r="A1" s="40" t="s">
        <v>110</v>
      </c>
    </row>
    <row r="3" spans="1:3" x14ac:dyDescent="0.4">
      <c r="A3" s="41" t="s">
        <v>111</v>
      </c>
      <c r="B3" s="42" t="s">
        <v>112</v>
      </c>
      <c r="C3" s="41" t="s">
        <v>113</v>
      </c>
    </row>
    <row r="4" spans="1:3" x14ac:dyDescent="0.4">
      <c r="A4" t="s">
        <v>114</v>
      </c>
      <c r="B4" s="43">
        <v>0.5</v>
      </c>
      <c r="C4" t="s">
        <v>115</v>
      </c>
    </row>
    <row r="5" spans="1:3" x14ac:dyDescent="0.4">
      <c r="A5" t="s">
        <v>116</v>
      </c>
      <c r="B5" s="44">
        <v>0.7</v>
      </c>
      <c r="C5" t="s">
        <v>117</v>
      </c>
    </row>
    <row r="6" spans="1:3" x14ac:dyDescent="0.4">
      <c r="A6" t="s">
        <v>118</v>
      </c>
      <c r="B6" s="43">
        <v>1.3</v>
      </c>
      <c r="C6" t="s">
        <v>119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Times</vt:lpstr>
      <vt:lpstr>Jogos do Dia</vt:lpstr>
      <vt:lpstr>Mercados</vt:lpstr>
      <vt:lpstr>Fontes</vt:lpstr>
      <vt:lpstr>Critérios</vt:lpstr>
      <vt:lpstr>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Fleury</cp:lastModifiedBy>
  <cp:revision>0</cp:revision>
  <dcterms:created xsi:type="dcterms:W3CDTF">2026-07-05T14:10:44Z</dcterms:created>
  <dcterms:modified xsi:type="dcterms:W3CDTF">2026-07-07T19:48:31Z</dcterms:modified>
  <dc:language>en-US</dc:language>
</cp:coreProperties>
</file>